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AUTOUPDT\GREPORTS\"/>
    </mc:Choice>
  </mc:AlternateContent>
  <xr:revisionPtr revIDLastSave="0" documentId="13_ncr:1_{1B719893-0858-4CC6-9E90-6DBEB0A7CC4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2" r:id="rId1"/>
    <sheet name="Sheet2" sheetId="3" r:id="rId2"/>
    <sheet name="Sale" sheetId="4" r:id="rId3"/>
    <sheet name="Purchase" sheetId="6" r:id="rId4"/>
    <sheet name="Other" sheetId="8" r:id="rId5"/>
  </sheets>
  <definedNames>
    <definedName name="_xlnm._FilterDatabase" localSheetId="4" hidden="1">Other!$A$2:$K$2</definedName>
    <definedName name="_xlnm._FilterDatabase" localSheetId="3" hidden="1">Purchase!$A$2:$K$2</definedName>
    <definedName name="_xlnm._FilterDatabase" localSheetId="2" hidden="1">Sale!$A$2:$K$2</definedName>
  </definedNames>
  <calcPr calcId="191028"/>
</workbook>
</file>

<file path=xl/calcChain.xml><?xml version="1.0" encoding="utf-8"?>
<calcChain xmlns="http://schemas.openxmlformats.org/spreadsheetml/2006/main">
  <c r="J1" i="4" l="1"/>
  <c r="I1" i="4"/>
  <c r="H1" i="4"/>
  <c r="G1" i="4"/>
  <c r="E1" i="4"/>
  <c r="J1" i="8"/>
  <c r="I1" i="8"/>
  <c r="H1" i="8"/>
  <c r="G1" i="8"/>
  <c r="E1" i="8"/>
  <c r="J1" i="6"/>
  <c r="I1" i="6"/>
  <c r="H1" i="6"/>
  <c r="G1" i="6"/>
  <c r="E1" i="6"/>
  <c r="O2" i="2"/>
  <c r="U70" i="2"/>
  <c r="T70" i="2"/>
  <c r="S70" i="2"/>
  <c r="R70" i="2"/>
  <c r="L77" i="3"/>
  <c r="N100" i="2"/>
  <c r="D77" i="3"/>
  <c r="F100" i="2"/>
  <c r="P100" i="2"/>
  <c r="O77" i="3"/>
  <c r="L76" i="3"/>
  <c r="D76" i="3"/>
  <c r="O76" i="3"/>
  <c r="L75" i="3"/>
  <c r="D75" i="3"/>
  <c r="F98" i="2"/>
  <c r="D74" i="3"/>
  <c r="F95" i="2"/>
  <c r="D73" i="3"/>
  <c r="F94" i="2"/>
  <c r="D72" i="3"/>
  <c r="O72" i="3"/>
  <c r="D71" i="3"/>
  <c r="O71" i="3"/>
  <c r="F92" i="2"/>
  <c r="H92" i="2"/>
  <c r="J92" i="2"/>
  <c r="L92" i="2"/>
  <c r="P92" i="2"/>
  <c r="P51" i="3"/>
  <c r="P50" i="3"/>
  <c r="P54" i="3"/>
  <c r="L51" i="3"/>
  <c r="H51" i="3"/>
  <c r="D51" i="3"/>
  <c r="L50" i="3"/>
  <c r="L54" i="3"/>
  <c r="J73" i="3"/>
  <c r="L94" i="2"/>
  <c r="L96" i="2"/>
  <c r="L103" i="2"/>
  <c r="H50" i="3"/>
  <c r="H54" i="3"/>
  <c r="D50" i="3"/>
  <c r="D54" i="3"/>
  <c r="B115" i="2"/>
  <c r="C114" i="2"/>
  <c r="B114" i="2"/>
  <c r="C113" i="2"/>
  <c r="B113" i="2"/>
  <c r="C112" i="2"/>
  <c r="B112" i="2"/>
  <c r="N110" i="2"/>
  <c r="J110" i="2"/>
  <c r="F110" i="2"/>
  <c r="P101" i="2"/>
  <c r="L100" i="2"/>
  <c r="J100" i="2"/>
  <c r="H100" i="2"/>
  <c r="N99" i="2"/>
  <c r="L99" i="2"/>
  <c r="J99" i="2"/>
  <c r="H99" i="2"/>
  <c r="N98" i="2"/>
  <c r="L98" i="2"/>
  <c r="J98" i="2"/>
  <c r="H98" i="2"/>
  <c r="L95" i="2"/>
  <c r="J95" i="2"/>
  <c r="H95" i="2"/>
  <c r="N94" i="2"/>
  <c r="J94" i="2"/>
  <c r="H94" i="2"/>
  <c r="H93" i="2"/>
  <c r="H96" i="2"/>
  <c r="H103" i="2"/>
  <c r="N93" i="2"/>
  <c r="L93" i="2"/>
  <c r="J93" i="2"/>
  <c r="F93" i="2"/>
  <c r="P93" i="2"/>
  <c r="N92" i="2"/>
  <c r="J96" i="2"/>
  <c r="J103" i="2"/>
  <c r="O85" i="2"/>
  <c r="L85" i="2"/>
  <c r="I85" i="2"/>
  <c r="F85" i="2"/>
  <c r="M82" i="2"/>
  <c r="H82" i="2"/>
  <c r="M81" i="2"/>
  <c r="H81" i="2"/>
  <c r="O76" i="2"/>
  <c r="L76" i="2"/>
  <c r="I76" i="2"/>
  <c r="F76" i="2"/>
  <c r="O70" i="2"/>
  <c r="L70" i="2"/>
  <c r="I70" i="2"/>
  <c r="F70" i="2"/>
  <c r="O69" i="2"/>
  <c r="O71" i="2"/>
  <c r="L69" i="2"/>
  <c r="L71" i="2"/>
  <c r="I69" i="2"/>
  <c r="I71" i="2"/>
  <c r="F69" i="2"/>
  <c r="F71" i="2"/>
  <c r="O66" i="2"/>
  <c r="L66" i="2"/>
  <c r="F66" i="2"/>
  <c r="O65" i="2"/>
  <c r="L65" i="2"/>
  <c r="I65" i="2"/>
  <c r="F65" i="2"/>
  <c r="O64" i="2"/>
  <c r="L64" i="2"/>
  <c r="I64" i="2"/>
  <c r="F64" i="2"/>
  <c r="O63" i="2"/>
  <c r="L63" i="2"/>
  <c r="I63" i="2"/>
  <c r="F63" i="2"/>
  <c r="O62" i="2"/>
  <c r="O67" i="2"/>
  <c r="O72" i="2"/>
  <c r="L62" i="2"/>
  <c r="L67" i="2"/>
  <c r="L72" i="2"/>
  <c r="I62" i="2"/>
  <c r="F62" i="2"/>
  <c r="F67" i="2"/>
  <c r="F72" i="2"/>
  <c r="O22" i="2"/>
  <c r="L22" i="2"/>
  <c r="I22" i="2"/>
  <c r="F22" i="2"/>
  <c r="C22" i="2"/>
  <c r="O15" i="2"/>
  <c r="L15" i="2"/>
  <c r="I15" i="2"/>
  <c r="F15" i="2"/>
  <c r="C15" i="2"/>
  <c r="O14" i="2"/>
  <c r="L14" i="2"/>
  <c r="L11" i="2"/>
  <c r="L16" i="2"/>
  <c r="I14" i="2"/>
  <c r="F14" i="2"/>
  <c r="C14" i="2"/>
  <c r="O13" i="2"/>
  <c r="L13" i="2"/>
  <c r="I13" i="2"/>
  <c r="F13" i="2"/>
  <c r="C13" i="2"/>
  <c r="O12" i="2"/>
  <c r="L12" i="2"/>
  <c r="I12" i="2"/>
  <c r="F12" i="2"/>
  <c r="C12" i="2"/>
  <c r="O11" i="2"/>
  <c r="O16" i="2"/>
  <c r="I11" i="2"/>
  <c r="I16" i="2"/>
  <c r="F11" i="2"/>
  <c r="F16" i="2"/>
  <c r="C11" i="2"/>
  <c r="C16" i="2"/>
  <c r="C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O3" i="2"/>
  <c r="O75" i="3"/>
  <c r="F99" i="2"/>
  <c r="P99" i="2"/>
  <c r="P94" i="2"/>
  <c r="F96" i="2"/>
  <c r="F102" i="2"/>
  <c r="F103" i="2"/>
  <c r="P98" i="2"/>
  <c r="P102" i="2"/>
  <c r="D84" i="3"/>
  <c r="C115" i="2"/>
  <c r="L74" i="3"/>
  <c r="O73" i="3"/>
  <c r="I66" i="2"/>
  <c r="I67" i="2"/>
  <c r="I72" i="2"/>
  <c r="O74" i="3"/>
  <c r="N95" i="2"/>
  <c r="N96" i="2"/>
  <c r="N103" i="2"/>
  <c r="P95" i="2"/>
  <c r="P96" i="2"/>
  <c r="P103" i="2"/>
</calcChain>
</file>

<file path=xl/sharedStrings.xml><?xml version="1.0" encoding="utf-8"?>
<sst xmlns="http://schemas.openxmlformats.org/spreadsheetml/2006/main" count="284" uniqueCount="143">
  <si>
    <t>Year</t>
  </si>
  <si>
    <t>Month</t>
  </si>
  <si>
    <t>1.</t>
  </si>
  <si>
    <t>GSTIN</t>
  </si>
  <si>
    <t>2.</t>
  </si>
  <si>
    <t>Legal Name</t>
  </si>
  <si>
    <t>3.1</t>
  </si>
  <si>
    <t>Details of outward supplies and inward supplies liable to reverse charge</t>
  </si>
  <si>
    <t>Nature of Supplies</t>
  </si>
  <si>
    <t>Taxable Value</t>
  </si>
  <si>
    <t>Integrated Tax</t>
  </si>
  <si>
    <t>Central Tax</t>
  </si>
  <si>
    <t>State/UT Tax</t>
  </si>
  <si>
    <t>Cess</t>
  </si>
  <si>
    <t>(a) Outward taxable supplies (other than zero rated, nil rated and exempted)</t>
  </si>
  <si>
    <t>(b) Outward taxable supplies (zero rated)</t>
  </si>
  <si>
    <t>(c) Other outward supplies (nil rated and exempted)</t>
  </si>
  <si>
    <t>(d) Inward supplies liable to reverse charge (other than those covered in 3.1.1)</t>
  </si>
  <si>
    <t>(e) Non-GST outward supplies</t>
  </si>
  <si>
    <t>Total</t>
  </si>
  <si>
    <t>3.1.1</t>
  </si>
  <si>
    <t>Details of supplies notified under sub-section (5) of section 9 of the Central Goods and Services Tax Act, 2017 and corresponding provisions in Integrated Goods and Services Tax/Union Territory Goods and Services Tax/State Goods and Services Tax Acts</t>
  </si>
  <si>
    <t>(i) Taxable supplies on which electronic commerce operator pays tax under sub-section (5) of section 9
[to be furnished by the electronic commerce operator]</t>
  </si>
  <si>
    <t>(ii) Taxable supplies made by the registered person through electronic commerce operator, on which electronic commerce operator is required to pay tax under sub-section (5) of section 9
[to be furnished by person making supplies through electronic commerce operator]</t>
  </si>
  <si>
    <t>3.2</t>
  </si>
  <si>
    <t>Of the supplies shown in 3.1(a) and 3.1.1 above, details of inter-state supplies made to unregistered persons, composition taxable persons and UIN holders</t>
  </si>
  <si>
    <t>Particulars</t>
  </si>
  <si>
    <t>Place of Supply</t>
  </si>
  <si>
    <t>Supplies made to Unregistered Persons</t>
  </si>
  <si>
    <t>Supplies made to Composition Taxable Persons</t>
  </si>
  <si>
    <t>Supplies made to UIN Holders</t>
  </si>
  <si>
    <t>4.</t>
  </si>
  <si>
    <t>Eligible Input Tax Credit</t>
  </si>
  <si>
    <t>Details</t>
  </si>
  <si>
    <t>(A) ITC Available (whether in full or in part)</t>
  </si>
  <si>
    <t>(1) Import of goods</t>
  </si>
  <si>
    <t>(2) Import of services</t>
  </si>
  <si>
    <t>(3) Inward supplies liable to reverse charge (other than 1 &amp; 2)</t>
  </si>
  <si>
    <t>(4) Inward supplies from ISD</t>
  </si>
  <si>
    <t>(5) All other ITC</t>
  </si>
  <si>
    <t>Total (A)</t>
  </si>
  <si>
    <t>(B) ITC Reversed</t>
  </si>
  <si>
    <t>(1) As per rules 38, 42 and 43 of CGST Rules and section 17(5)</t>
  </si>
  <si>
    <t>(2) Others</t>
  </si>
  <si>
    <t>Total (B)</t>
  </si>
  <si>
    <t>(C) Net ITC Available [(A) - (B)]</t>
  </si>
  <si>
    <t>(D) Other Details</t>
  </si>
  <si>
    <t>(1) ITC reclaimed which was reversed under Table 4(B)(2) in earlier tax period</t>
  </si>
  <si>
    <t>(2) Ineligible ITC under section 16(4) and ITC restricted due to PoS provisions</t>
  </si>
  <si>
    <t>Total (D)</t>
  </si>
  <si>
    <t>5.</t>
  </si>
  <si>
    <t>Values of exempt, nil-rated and non-GST inward supplies</t>
  </si>
  <si>
    <t>Inter-State Supplies</t>
  </si>
  <si>
    <t>Intra-State Supplies</t>
  </si>
  <si>
    <t>From a supplier under composition scheme, exempt and nil rated supply</t>
  </si>
  <si>
    <t>Non-GST supply</t>
  </si>
  <si>
    <t>Opening Balance</t>
  </si>
  <si>
    <t>6.1</t>
  </si>
  <si>
    <t>Payment of Tax</t>
  </si>
  <si>
    <t>Description</t>
  </si>
  <si>
    <t>Tax Payable</t>
  </si>
  <si>
    <t>Paid Through ITC</t>
  </si>
  <si>
    <t>Payable in Cash</t>
  </si>
  <si>
    <t>(A) Forward Charge</t>
  </si>
  <si>
    <t>(B) Reverse Charge</t>
  </si>
  <si>
    <t>Total [(A) + (B)]</t>
  </si>
  <si>
    <t>Grand Total</t>
  </si>
  <si>
    <t>6.2</t>
  </si>
  <si>
    <t>TDS/TCS Credit</t>
  </si>
  <si>
    <t>TDS</t>
  </si>
  <si>
    <t>TCS</t>
  </si>
  <si>
    <t>Balance After Adjustments</t>
  </si>
  <si>
    <t>Verification (by Authorized Signatory)</t>
  </si>
  <si>
    <t>I hereby solemnly affirm and declare that the information given herein above is true and correct to the best of my knowledge and belief and nothing has been concealed therefrom.</t>
  </si>
  <si>
    <t>Instructions:</t>
  </si>
  <si>
    <t>1) Value of Taxable Supplies = Value of invoices + value of Debit Notes – value of credit notes + value of advances received for which invoices have not been issued in the same month – value of advances adjusted against invoices.</t>
  </si>
  <si>
    <t>2) Details of advances as well as adjustment of same against invoices to be adjusted and not shown separately.</t>
  </si>
  <si>
    <t>3) Amendment in any details to be adjusted and not shown separately.</t>
  </si>
  <si>
    <t>4) An Electronic Commerce Operator (ECO) shall not include in 3.1(a) above, the supplies on which the ECO is required to pay tax under sub-section (5) of section 9 of the Central Goods and Services Tax Act, 2017 and shall report such supplies in 3.1.1(i) above.</t>
  </si>
  <si>
    <t>5) A registered person making supplies through an Electronic Commerce Operator (ECO) shall not include in 3.1(a) above, the supplies on which the ECO is required to pay tax under sub-section (5) of section 9 of the Central Goods and Services Tax Act, 2017 and shall report such supplies in 3.1.1(ii) above.</t>
  </si>
  <si>
    <t>Form GSTR-3B</t>
  </si>
  <si>
    <t>2018-19</t>
  </si>
  <si>
    <t>April</t>
  </si>
  <si>
    <t xml:space="preserve">GSTIN </t>
  </si>
  <si>
    <t>Legal name of the registered person</t>
  </si>
  <si>
    <t>Detail of Outward Supplies and Inward supplies liable to reverse charges</t>
  </si>
  <si>
    <t>Total Taxable Value</t>
  </si>
  <si>
    <t>State/ UT Tax</t>
  </si>
  <si>
    <t>( a) Outward taxable supplies (other than zero rated, nil rated and exempted)</t>
  </si>
  <si>
    <t>( b) Outward taxable supplies (zero rated)</t>
  </si>
  <si>
    <t>( c) Other outward supplies, (Nil rated, exempted)</t>
  </si>
  <si>
    <t>( d) Inward supplies (liable to reverse charge)</t>
  </si>
  <si>
    <t>( e) Non GST outward supplies</t>
  </si>
  <si>
    <t xml:space="preserve">( f) Supplies U/S 9(5) </t>
  </si>
  <si>
    <t>3.2 Of the supplies shown in 3.1 (a) above, details of inter-State supplies made to unregistered persons,</t>
  </si>
  <si>
    <t>composition taxable persons and UIN holders</t>
  </si>
  <si>
    <t>Place of Supply (State/UT)</t>
  </si>
  <si>
    <t>Amount of Integrated Tax</t>
  </si>
  <si>
    <t>Eligible ITC</t>
  </si>
  <si>
    <t>(A) ITC Available (whether in full or part)</t>
  </si>
  <si>
    <t>(3) Inward supplies liable to reverse charge (other</t>
  </si>
  <si>
    <t>than 1 &amp; 2 above)</t>
  </si>
  <si>
    <t>(1) As per rules 42 &amp; 43 of CGST Rules</t>
  </si>
  <si>
    <t>(C) Net ITC Available (A) – (B)</t>
  </si>
  <si>
    <t>(D) Ineligible ITC</t>
  </si>
  <si>
    <t>(1) As per section 17(5)</t>
  </si>
  <si>
    <t xml:space="preserve">Nature of supplies </t>
  </si>
  <si>
    <t>Inter-State supplies</t>
  </si>
  <si>
    <t xml:space="preserve"> Intra-State supplies</t>
  </si>
  <si>
    <t>From a supplier under composition scheme, Exempt and Nil rated supply</t>
  </si>
  <si>
    <t>Non GST supply</t>
  </si>
  <si>
    <t>Tax payable</t>
  </si>
  <si>
    <t>Paid through ITC</t>
  </si>
  <si>
    <t>Tax Paid TDS/TCS</t>
  </si>
  <si>
    <t>Tax/Cess paid in cash</t>
  </si>
  <si>
    <t>Interest</t>
  </si>
  <si>
    <t>Late Fee</t>
  </si>
  <si>
    <t>State/UT tax</t>
  </si>
  <si>
    <t>Inward Charges ( Integrated Tax )</t>
  </si>
  <si>
    <t>Inward Charges ( Central Tax )</t>
  </si>
  <si>
    <t>Inward Charges ( State / UT Tax )</t>
  </si>
  <si>
    <t>BALANCE AFTER ADJUSTMENTS</t>
  </si>
  <si>
    <t>Verification (by Authorised signatory)</t>
  </si>
  <si>
    <t xml:space="preserve">I hereby solemnly affirm and declare that the information given herein above is true and correct to the best of my knowledge and belief </t>
  </si>
  <si>
    <t>and nothing has been concealed there from.</t>
  </si>
  <si>
    <t>1) Value of Taxable Supplies = Value of invoices + value of Debit Notes – value of credit notes + value of advances received for which</t>
  </si>
  <si>
    <t xml:space="preserve"> invoices have not been issued in the same month – value of advances adjusted against invoices</t>
  </si>
  <si>
    <t>2) Details of advances as well as adjustment of same against invoices to be adjusted and not shown separately</t>
  </si>
  <si>
    <r>
      <rPr>
        <b/>
        <u/>
        <sz val="11"/>
        <rFont val="Bookman Old Style"/>
        <family val="1"/>
      </rPr>
      <t>FORM-3B</t>
    </r>
    <r>
      <rPr>
        <b/>
        <u/>
        <sz val="9"/>
        <rFont val="Bookman Old Style"/>
        <family val="1"/>
      </rPr>
      <t xml:space="preserve">
</t>
    </r>
    <r>
      <rPr>
        <sz val="9"/>
        <rFont val="Bookman Old Style"/>
        <family val="1"/>
      </rPr>
      <t xml:space="preserve">[See Rule 61(5)] </t>
    </r>
  </si>
  <si>
    <t>[ See Rule 61(5) ]</t>
  </si>
  <si>
    <t>Account Name</t>
  </si>
  <si>
    <t>GST No.</t>
  </si>
  <si>
    <t>Bill No.</t>
  </si>
  <si>
    <t>Date</t>
  </si>
  <si>
    <t>C.Gst</t>
  </si>
  <si>
    <t>I.Gst</t>
  </si>
  <si>
    <t>S.Gst</t>
  </si>
  <si>
    <t>Gst Rate</t>
  </si>
  <si>
    <t>Tax Type</t>
  </si>
  <si>
    <t>Sheet2 Col.No.</t>
  </si>
  <si>
    <t>State Name</t>
  </si>
  <si>
    <t>Input Date</t>
  </si>
  <si>
    <t>Vch.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</si>
</sst>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_-* #,##0_-;_-* #,##0\-;_-* &quot;-&quot;_-;_-@_-"/>
  </numFmts>
  <fonts count="26">
    <font>
      <sz val="11"/>
      <color theme="1"/>
      <name val="Calibri"/>
      <family val="2"/>
      <scheme val="minor"/>
    </font>
    <font>
      <b/>
      <u/>
      <sz val="9"/>
      <name val="Bookman Old Style"/>
      <family val="1"/>
    </font>
    <font>
      <b/>
      <u/>
      <sz val="11"/>
      <name val="Bookman Old Style"/>
      <family val="1"/>
    </font>
    <font>
      <sz val="9"/>
      <name val="Bookman Old Style"/>
      <family val="1"/>
    </font>
    <font>
      <b/>
      <sz val="9"/>
      <name val="Bookman Old Style"/>
      <family val="1"/>
    </font>
    <font>
      <sz val="9"/>
      <color theme="1"/>
      <name val="Bookman Old Style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FFFF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charset val="134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Bookman Old Style"/>
      <family val="1"/>
    </font>
    <font>
      <b/>
      <sz val="12"/>
      <color theme="1" tint="0.249977111117893"/>
      <name val="Calibri"/>
      <family val="2"/>
      <scheme val="minor"/>
    </font>
    <font>
      <b/>
      <i/>
      <sz val="10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4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6FAE4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5" fillId="0" borderId="0"/>
  </cellStyleXfs>
  <cellXfs count="173">
    <xf numFmtId="0" fontId="0" fillId="0" borderId="0" xfId="0"/>
    <xf numFmtId="0" fontId="3" fillId="0" borderId="0" xfId="2" applyFont="1" applyAlignment="1">
      <alignment vertical="center"/>
    </xf>
    <xf numFmtId="0" fontId="4" fillId="0" borderId="1" xfId="2" quotePrefix="1" applyFont="1" applyBorder="1" applyAlignment="1">
      <alignment horizontal="left" vertical="center"/>
    </xf>
    <xf numFmtId="0" fontId="4" fillId="0" borderId="1" xfId="2" applyFont="1" applyBorder="1" applyAlignment="1">
      <alignment vertical="center"/>
    </xf>
    <xf numFmtId="0" fontId="4" fillId="2" borderId="1" xfId="2" applyFont="1" applyFill="1" applyBorder="1" applyAlignment="1">
      <alignment horizontal="center" vertical="center"/>
    </xf>
    <xf numFmtId="0" fontId="4" fillId="0" borderId="0" xfId="2" quotePrefix="1" applyFont="1" applyAlignment="1">
      <alignment horizontal="left" vertical="center"/>
    </xf>
    <xf numFmtId="0" fontId="4" fillId="0" borderId="0" xfId="2" applyFont="1" applyAlignment="1">
      <alignment vertical="center"/>
    </xf>
    <xf numFmtId="164" fontId="4" fillId="0" borderId="0" xfId="1" applyFont="1" applyFill="1" applyBorder="1" applyAlignment="1">
      <alignment vertical="center"/>
    </xf>
    <xf numFmtId="0" fontId="5" fillId="0" borderId="0" xfId="2"/>
    <xf numFmtId="0" fontId="7" fillId="0" borderId="0" xfId="2" applyFont="1"/>
    <xf numFmtId="0" fontId="7" fillId="0" borderId="2" xfId="2" applyFont="1" applyBorder="1"/>
    <xf numFmtId="0" fontId="8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7" fillId="3" borderId="2" xfId="2" applyFont="1" applyFill="1" applyBorder="1"/>
    <xf numFmtId="0" fontId="7" fillId="4" borderId="2" xfId="2" applyFont="1" applyFill="1" applyBorder="1" applyAlignment="1">
      <alignment horizontal="center"/>
    </xf>
    <xf numFmtId="0" fontId="6" fillId="5" borderId="2" xfId="2" applyFont="1" applyFill="1" applyBorder="1" applyAlignment="1">
      <alignment wrapText="1"/>
    </xf>
    <xf numFmtId="0" fontId="5" fillId="0" borderId="2" xfId="2" applyBorder="1" applyAlignment="1">
      <alignment wrapText="1"/>
    </xf>
    <xf numFmtId="0" fontId="10" fillId="6" borderId="0" xfId="2" applyFont="1" applyFill="1" applyAlignment="1">
      <alignment wrapText="1"/>
    </xf>
    <xf numFmtId="0" fontId="7" fillId="0" borderId="0" xfId="2" applyFont="1" applyAlignment="1">
      <alignment wrapText="1"/>
    </xf>
    <xf numFmtId="0" fontId="7" fillId="3" borderId="2" xfId="2" applyFont="1" applyFill="1" applyBorder="1" applyAlignment="1">
      <alignment horizontal="center" wrapText="1"/>
    </xf>
    <xf numFmtId="0" fontId="7" fillId="4" borderId="2" xfId="2" applyFont="1" applyFill="1" applyBorder="1" applyAlignment="1">
      <alignment horizontal="center" wrapText="1"/>
    </xf>
    <xf numFmtId="0" fontId="11" fillId="7" borderId="2" xfId="2" applyFont="1" applyFill="1" applyBorder="1" applyAlignment="1">
      <alignment wrapText="1"/>
    </xf>
    <xf numFmtId="0" fontId="6" fillId="0" borderId="2" xfId="2" applyFont="1" applyBorder="1" applyAlignment="1">
      <alignment horizontal="left" wrapText="1"/>
    </xf>
    <xf numFmtId="0" fontId="6" fillId="0" borderId="2" xfId="2" applyFont="1" applyBorder="1" applyAlignment="1">
      <alignment wrapText="1"/>
    </xf>
    <xf numFmtId="0" fontId="12" fillId="7" borderId="2" xfId="2" applyFont="1" applyFill="1" applyBorder="1" applyAlignment="1">
      <alignment wrapText="1"/>
    </xf>
    <xf numFmtId="0" fontId="13" fillId="0" borderId="0" xfId="2" applyFont="1" applyAlignment="1">
      <alignment horizontal="center"/>
    </xf>
    <xf numFmtId="0" fontId="6" fillId="0" borderId="2" xfId="2" applyFont="1" applyBorder="1"/>
    <xf numFmtId="2" fontId="6" fillId="8" borderId="2" xfId="2" applyNumberFormat="1" applyFont="1" applyFill="1" applyBorder="1"/>
    <xf numFmtId="0" fontId="9" fillId="0" borderId="2" xfId="2" applyFont="1" applyBorder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2" fontId="11" fillId="0" borderId="0" xfId="2" applyNumberFormat="1" applyFont="1" applyAlignment="1">
      <alignment horizontal="center"/>
    </xf>
    <xf numFmtId="2" fontId="5" fillId="9" borderId="0" xfId="2" applyNumberFormat="1" applyFill="1" applyAlignment="1">
      <alignment horizontal="center"/>
    </xf>
    <xf numFmtId="2" fontId="5" fillId="9" borderId="0" xfId="2" applyNumberFormat="1" applyFill="1"/>
    <xf numFmtId="0" fontId="9" fillId="10" borderId="3" xfId="2" applyFont="1" applyFill="1" applyBorder="1" applyAlignment="1">
      <alignment horizontal="left" vertical="center" wrapText="1"/>
    </xf>
    <xf numFmtId="2" fontId="11" fillId="10" borderId="4" xfId="2" applyNumberFormat="1" applyFont="1" applyFill="1" applyBorder="1" applyAlignment="1">
      <alignment horizontal="center"/>
    </xf>
    <xf numFmtId="2" fontId="5" fillId="10" borderId="4" xfId="2" applyNumberFormat="1" applyFill="1" applyBorder="1" applyAlignment="1">
      <alignment horizontal="center"/>
    </xf>
    <xf numFmtId="2" fontId="5" fillId="10" borderId="4" xfId="2" applyNumberFormat="1" applyFill="1" applyBorder="1"/>
    <xf numFmtId="0" fontId="5" fillId="10" borderId="4" xfId="2" applyFill="1" applyBorder="1"/>
    <xf numFmtId="0" fontId="5" fillId="10" borderId="5" xfId="2" applyFill="1" applyBorder="1"/>
    <xf numFmtId="0" fontId="14" fillId="11" borderId="2" xfId="2" applyFont="1" applyFill="1" applyBorder="1" applyAlignment="1">
      <alignment vertical="center"/>
    </xf>
    <xf numFmtId="2" fontId="15" fillId="11" borderId="2" xfId="2" applyNumberFormat="1" applyFont="1" applyFill="1" applyBorder="1"/>
    <xf numFmtId="0" fontId="15" fillId="11" borderId="2" xfId="2" applyFont="1" applyFill="1" applyBorder="1"/>
    <xf numFmtId="0" fontId="14" fillId="11" borderId="2" xfId="2" applyFont="1" applyFill="1" applyBorder="1"/>
    <xf numFmtId="2" fontId="3" fillId="0" borderId="0" xfId="2" applyNumberFormat="1" applyFont="1" applyAlignment="1">
      <alignment vertical="center"/>
    </xf>
    <xf numFmtId="0" fontId="16" fillId="12" borderId="2" xfId="0" applyFont="1" applyFill="1" applyBorder="1"/>
    <xf numFmtId="0" fontId="17" fillId="12" borderId="2" xfId="0" applyFont="1" applyFill="1" applyBorder="1"/>
    <xf numFmtId="14" fontId="17" fillId="12" borderId="2" xfId="0" applyNumberFormat="1" applyFont="1" applyFill="1" applyBorder="1"/>
    <xf numFmtId="0" fontId="17" fillId="12" borderId="2" xfId="0" applyFont="1" applyFill="1" applyBorder="1" applyAlignment="1">
      <alignment horizontal="right" vertical="center"/>
    </xf>
    <xf numFmtId="2" fontId="17" fillId="12" borderId="2" xfId="0" applyNumberFormat="1" applyFont="1" applyFill="1" applyBorder="1" applyAlignment="1">
      <alignment horizontal="right" vertical="center"/>
    </xf>
    <xf numFmtId="0" fontId="18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2" fontId="17" fillId="12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2" fontId="6" fillId="13" borderId="2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7" fillId="12" borderId="2" xfId="0" applyFont="1" applyFill="1" applyBorder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4" fontId="17" fillId="12" borderId="2" xfId="0" applyNumberFormat="1" applyFont="1" applyFill="1" applyBorder="1" applyAlignment="1">
      <alignment horizontal="left" vertical="center"/>
    </xf>
    <xf numFmtId="0" fontId="3" fillId="0" borderId="0" xfId="2" applyFont="1" applyAlignment="1">
      <alignment vertical="center"/>
    </xf>
    <xf numFmtId="0" fontId="19" fillId="0" borderId="0" xfId="2" applyFont="1" applyAlignment="1">
      <alignment horizontal="justify" vertical="center" wrapText="1"/>
    </xf>
    <xf numFmtId="2" fontId="3" fillId="0" borderId="0" xfId="2" applyNumberFormat="1" applyFont="1" applyAlignment="1">
      <alignment horizontal="right" vertical="center"/>
    </xf>
    <xf numFmtId="0" fontId="3" fillId="0" borderId="0" xfId="2" applyFont="1" applyAlignment="1">
      <alignment horizontal="right" vertical="center"/>
    </xf>
    <xf numFmtId="0" fontId="3" fillId="0" borderId="0" xfId="2" applyFont="1" applyAlignment="1">
      <alignment horizontal="justify" vertical="center" wrapText="1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164" fontId="4" fillId="0" borderId="1" xfId="1" applyFont="1" applyFill="1" applyBorder="1" applyAlignment="1">
      <alignment vertical="center"/>
    </xf>
    <xf numFmtId="0" fontId="20" fillId="9" borderId="2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vertical="center"/>
    </xf>
    <xf numFmtId="164" fontId="3" fillId="0" borderId="1" xfId="1" applyFont="1" applyFill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vertical="center"/>
    </xf>
    <xf numFmtId="165" fontId="4" fillId="0" borderId="6" xfId="1" applyNumberFormat="1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5" fontId="3" fillId="14" borderId="1" xfId="1" applyNumberFormat="1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 wrapText="1"/>
    </xf>
    <xf numFmtId="0" fontId="3" fillId="0" borderId="6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8" xfId="2" applyFont="1" applyBorder="1" applyAlignment="1">
      <alignment vertical="center"/>
    </xf>
    <xf numFmtId="164" fontId="3" fillId="0" borderId="6" xfId="1" applyFont="1" applyFill="1" applyBorder="1" applyAlignment="1">
      <alignment vertical="center"/>
    </xf>
    <xf numFmtId="164" fontId="3" fillId="0" borderId="7" xfId="1" applyFont="1" applyFill="1" applyBorder="1" applyAlignment="1">
      <alignment vertical="center"/>
    </xf>
    <xf numFmtId="164" fontId="3" fillId="0" borderId="8" xfId="1" applyFont="1" applyFill="1" applyBorder="1" applyAlignment="1">
      <alignment vertical="center"/>
    </xf>
    <xf numFmtId="0" fontId="4" fillId="0" borderId="6" xfId="2" quotePrefix="1" applyFont="1" applyBorder="1" applyAlignment="1">
      <alignment horizontal="center" vertical="center"/>
    </xf>
    <xf numFmtId="0" fontId="4" fillId="0" borderId="7" xfId="2" quotePrefix="1" applyFont="1" applyBorder="1" applyAlignment="1">
      <alignment horizontal="center" vertical="center"/>
    </xf>
    <xf numFmtId="0" fontId="4" fillId="0" borderId="8" xfId="2" quotePrefix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 indent="1"/>
    </xf>
    <xf numFmtId="0" fontId="3" fillId="0" borderId="1" xfId="2" applyFont="1" applyBorder="1" applyAlignment="1">
      <alignment horizontal="left" vertical="center" indent="1"/>
    </xf>
    <xf numFmtId="164" fontId="3" fillId="0" borderId="6" xfId="1" applyFont="1" applyFill="1" applyBorder="1" applyAlignment="1">
      <alignment horizontal="center" vertical="center"/>
    </xf>
    <xf numFmtId="164" fontId="3" fillId="0" borderId="7" xfId="1" applyFont="1" applyFill="1" applyBorder="1" applyAlignment="1">
      <alignment horizontal="center" vertical="center"/>
    </xf>
    <xf numFmtId="164" fontId="3" fillId="0" borderId="8" xfId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0" xfId="2" applyFont="1" applyAlignment="1">
      <alignment horizontal="justify" vertical="center" wrapText="1"/>
    </xf>
    <xf numFmtId="0" fontId="3" fillId="0" borderId="1" xfId="2" applyFont="1" applyBorder="1" applyAlignment="1">
      <alignment horizontal="justify" vertical="center" wrapText="1"/>
    </xf>
    <xf numFmtId="0" fontId="4" fillId="0" borderId="10" xfId="2" applyFont="1" applyBorder="1" applyAlignment="1">
      <alignment horizontal="justify" vertical="center" wrapText="1"/>
    </xf>
    <xf numFmtId="164" fontId="4" fillId="0" borderId="6" xfId="1" applyFont="1" applyFill="1" applyBorder="1" applyAlignment="1">
      <alignment vertical="center"/>
    </xf>
    <xf numFmtId="164" fontId="4" fillId="0" borderId="7" xfId="1" applyFont="1" applyFill="1" applyBorder="1" applyAlignment="1">
      <alignment vertical="center"/>
    </xf>
    <xf numFmtId="164" fontId="4" fillId="0" borderId="8" xfId="1" applyFont="1" applyFill="1" applyBorder="1" applyAlignment="1">
      <alignment vertical="center"/>
    </xf>
    <xf numFmtId="164" fontId="3" fillId="14" borderId="6" xfId="1" applyFont="1" applyFill="1" applyBorder="1" applyAlignment="1">
      <alignment vertical="center"/>
    </xf>
    <xf numFmtId="164" fontId="3" fillId="14" borderId="7" xfId="1" applyFont="1" applyFill="1" applyBorder="1" applyAlignment="1">
      <alignment vertical="center"/>
    </xf>
    <xf numFmtId="164" fontId="3" fillId="14" borderId="8" xfId="1" applyFont="1" applyFill="1" applyBorder="1" applyAlignment="1">
      <alignment vertical="center"/>
    </xf>
    <xf numFmtId="0" fontId="1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4" fillId="2" borderId="1" xfId="2" applyFont="1" applyFill="1" applyBorder="1" applyAlignment="1">
      <alignment vertical="center"/>
    </xf>
    <xf numFmtId="0" fontId="5" fillId="8" borderId="2" xfId="2" applyFill="1" applyBorder="1" applyAlignment="1">
      <alignment horizontal="center"/>
    </xf>
    <xf numFmtId="0" fontId="7" fillId="3" borderId="13" xfId="2" applyFont="1" applyFill="1" applyBorder="1" applyAlignment="1">
      <alignment horizontal="center" wrapText="1"/>
    </xf>
    <xf numFmtId="0" fontId="7" fillId="3" borderId="14" xfId="2" applyFont="1" applyFill="1" applyBorder="1" applyAlignment="1">
      <alignment horizontal="center" wrapText="1"/>
    </xf>
    <xf numFmtId="0" fontId="7" fillId="3" borderId="15" xfId="2" applyFont="1" applyFill="1" applyBorder="1" applyAlignment="1">
      <alignment horizontal="center" wrapText="1"/>
    </xf>
    <xf numFmtId="0" fontId="7" fillId="4" borderId="2" xfId="2" applyFont="1" applyFill="1" applyBorder="1" applyAlignment="1">
      <alignment horizontal="center"/>
    </xf>
    <xf numFmtId="2" fontId="14" fillId="11" borderId="2" xfId="2" applyNumberFormat="1" applyFont="1" applyFill="1" applyBorder="1" applyAlignment="1">
      <alignment horizontal="right"/>
    </xf>
    <xf numFmtId="2" fontId="15" fillId="11" borderId="2" xfId="2" applyNumberFormat="1" applyFont="1" applyFill="1" applyBorder="1" applyAlignment="1">
      <alignment horizontal="center"/>
    </xf>
    <xf numFmtId="2" fontId="12" fillId="0" borderId="2" xfId="2" applyNumberFormat="1" applyFont="1" applyBorder="1" applyAlignment="1">
      <alignment horizontal="center"/>
    </xf>
    <xf numFmtId="2" fontId="6" fillId="8" borderId="2" xfId="2" applyNumberFormat="1" applyFont="1" applyFill="1" applyBorder="1" applyAlignment="1">
      <alignment horizontal="center"/>
    </xf>
    <xf numFmtId="2" fontId="6" fillId="0" borderId="2" xfId="2" applyNumberFormat="1" applyFont="1" applyBorder="1" applyAlignment="1">
      <alignment horizontal="center"/>
    </xf>
    <xf numFmtId="0" fontId="7" fillId="4" borderId="14" xfId="2" applyFont="1" applyFill="1" applyBorder="1" applyAlignment="1">
      <alignment horizontal="center" wrapText="1"/>
    </xf>
    <xf numFmtId="0" fontId="7" fillId="4" borderId="15" xfId="2" applyFont="1" applyFill="1" applyBorder="1" applyAlignment="1">
      <alignment horizontal="center" wrapText="1"/>
    </xf>
    <xf numFmtId="0" fontId="13" fillId="3" borderId="2" xfId="2" applyFont="1" applyFill="1" applyBorder="1" applyAlignment="1">
      <alignment horizontal="center" wrapText="1"/>
    </xf>
    <xf numFmtId="0" fontId="21" fillId="3" borderId="2" xfId="2" applyFont="1" applyFill="1" applyBorder="1" applyAlignment="1">
      <alignment horizontal="center" wrapText="1"/>
    </xf>
    <xf numFmtId="0" fontId="7" fillId="4" borderId="2" xfId="2" applyFont="1" applyFill="1" applyBorder="1" applyAlignment="1">
      <alignment horizontal="center" wrapText="1"/>
    </xf>
    <xf numFmtId="0" fontId="6" fillId="0" borderId="2" xfId="2" applyFont="1" applyBorder="1" applyAlignment="1">
      <alignment horizontal="left"/>
    </xf>
    <xf numFmtId="0" fontId="5" fillId="0" borderId="2" xfId="2" applyBorder="1" applyAlignment="1">
      <alignment horizontal="center"/>
    </xf>
    <xf numFmtId="0" fontId="13" fillId="3" borderId="2" xfId="2" applyFont="1" applyFill="1" applyBorder="1" applyAlignment="1">
      <alignment horizontal="center"/>
    </xf>
    <xf numFmtId="0" fontId="13" fillId="3" borderId="16" xfId="2" applyFont="1" applyFill="1" applyBorder="1" applyAlignment="1">
      <alignment horizontal="center" wrapText="1"/>
    </xf>
    <xf numFmtId="0" fontId="13" fillId="3" borderId="17" xfId="2" applyFont="1" applyFill="1" applyBorder="1" applyAlignment="1">
      <alignment horizontal="center" wrapText="1"/>
    </xf>
    <xf numFmtId="0" fontId="13" fillId="3" borderId="18" xfId="2" applyFont="1" applyFill="1" applyBorder="1" applyAlignment="1">
      <alignment horizontal="center" wrapText="1"/>
    </xf>
    <xf numFmtId="0" fontId="13" fillId="3" borderId="19" xfId="2" applyFont="1" applyFill="1" applyBorder="1" applyAlignment="1">
      <alignment horizontal="center" wrapText="1"/>
    </xf>
    <xf numFmtId="0" fontId="13" fillId="3" borderId="20" xfId="2" applyFont="1" applyFill="1" applyBorder="1" applyAlignment="1">
      <alignment horizontal="center" wrapText="1"/>
    </xf>
    <xf numFmtId="0" fontId="13" fillId="3" borderId="21" xfId="2" applyFont="1" applyFill="1" applyBorder="1" applyAlignment="1">
      <alignment horizontal="center" wrapText="1"/>
    </xf>
    <xf numFmtId="0" fontId="5" fillId="4" borderId="2" xfId="2" applyFill="1" applyBorder="1" applyAlignment="1">
      <alignment horizontal="center"/>
    </xf>
    <xf numFmtId="0" fontId="6" fillId="0" borderId="2" xfId="2" applyFont="1" applyBorder="1" applyAlignment="1">
      <alignment horizontal="left" wrapText="1"/>
    </xf>
    <xf numFmtId="0" fontId="22" fillId="0" borderId="13" xfId="2" applyFont="1" applyBorder="1" applyAlignment="1">
      <alignment horizontal="center"/>
    </xf>
    <xf numFmtId="0" fontId="22" fillId="0" borderId="14" xfId="2" applyFont="1" applyBorder="1" applyAlignment="1">
      <alignment horizontal="center"/>
    </xf>
    <xf numFmtId="0" fontId="22" fillId="0" borderId="15" xfId="2" applyFont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22" fillId="7" borderId="13" xfId="2" applyFont="1" applyFill="1" applyBorder="1" applyAlignment="1">
      <alignment horizontal="center"/>
    </xf>
    <xf numFmtId="0" fontId="22" fillId="7" borderId="14" xfId="2" applyFont="1" applyFill="1" applyBorder="1" applyAlignment="1">
      <alignment horizontal="center"/>
    </xf>
    <xf numFmtId="0" fontId="22" fillId="7" borderId="15" xfId="2" applyFont="1" applyFill="1" applyBorder="1" applyAlignment="1">
      <alignment horizontal="center"/>
    </xf>
    <xf numFmtId="2" fontId="22" fillId="0" borderId="13" xfId="2" applyNumberFormat="1" applyFont="1" applyBorder="1" applyAlignment="1">
      <alignment horizontal="center"/>
    </xf>
    <xf numFmtId="2" fontId="22" fillId="0" borderId="14" xfId="2" applyNumberFormat="1" applyFont="1" applyBorder="1" applyAlignment="1">
      <alignment horizontal="center"/>
    </xf>
    <xf numFmtId="2" fontId="22" fillId="0" borderId="15" xfId="2" applyNumberFormat="1" applyFont="1" applyBorder="1" applyAlignment="1">
      <alignment horizontal="center"/>
    </xf>
    <xf numFmtId="2" fontId="22" fillId="7" borderId="13" xfId="2" applyNumberFormat="1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5" xfId="2" applyFont="1" applyFill="1" applyBorder="1" applyAlignment="1">
      <alignment horizontal="center"/>
    </xf>
    <xf numFmtId="2" fontId="23" fillId="7" borderId="13" xfId="2" applyNumberFormat="1" applyFont="1" applyFill="1" applyBorder="1" applyAlignment="1">
      <alignment horizontal="center"/>
    </xf>
    <xf numFmtId="2" fontId="23" fillId="7" borderId="14" xfId="2" applyNumberFormat="1" applyFont="1" applyFill="1" applyBorder="1" applyAlignment="1">
      <alignment horizontal="center"/>
    </xf>
    <xf numFmtId="2" fontId="23" fillId="7" borderId="15" xfId="2" applyNumberFormat="1" applyFont="1" applyFill="1" applyBorder="1" applyAlignment="1">
      <alignment horizontal="center"/>
    </xf>
    <xf numFmtId="0" fontId="23" fillId="7" borderId="13" xfId="2" applyFont="1" applyFill="1" applyBorder="1" applyAlignment="1">
      <alignment horizontal="center"/>
    </xf>
    <xf numFmtId="0" fontId="23" fillId="7" borderId="14" xfId="2" applyFont="1" applyFill="1" applyBorder="1" applyAlignment="1">
      <alignment horizontal="center"/>
    </xf>
    <xf numFmtId="0" fontId="23" fillId="7" borderId="15" xfId="2" applyFont="1" applyFill="1" applyBorder="1" applyAlignment="1">
      <alignment horizontal="center"/>
    </xf>
    <xf numFmtId="2" fontId="10" fillId="6" borderId="13" xfId="2" applyNumberFormat="1" applyFont="1" applyFill="1" applyBorder="1" applyAlignment="1">
      <alignment horizontal="center"/>
    </xf>
    <xf numFmtId="2" fontId="10" fillId="6" borderId="14" xfId="2" applyNumberFormat="1" applyFont="1" applyFill="1" applyBorder="1" applyAlignment="1">
      <alignment horizontal="center"/>
    </xf>
    <xf numFmtId="2" fontId="10" fillId="6" borderId="15" xfId="2" applyNumberFormat="1" applyFont="1" applyFill="1" applyBorder="1" applyAlignment="1">
      <alignment horizontal="center"/>
    </xf>
    <xf numFmtId="0" fontId="7" fillId="3" borderId="2" xfId="2" applyFont="1" applyFill="1" applyBorder="1" applyAlignment="1">
      <alignment horizontal="center" wrapText="1"/>
    </xf>
    <xf numFmtId="0" fontId="7" fillId="3" borderId="2" xfId="2" applyFont="1" applyFill="1" applyBorder="1" applyAlignment="1">
      <alignment horizontal="center"/>
    </xf>
    <xf numFmtId="0" fontId="22" fillId="0" borderId="2" xfId="2" applyFont="1" applyBorder="1" applyAlignment="1">
      <alignment horizontal="center"/>
    </xf>
    <xf numFmtId="0" fontId="22" fillId="0" borderId="13" xfId="2" applyFont="1" applyBorder="1" applyAlignment="1">
      <alignment horizontal="left"/>
    </xf>
    <xf numFmtId="0" fontId="22" fillId="0" borderId="14" xfId="2" applyFont="1" applyBorder="1" applyAlignment="1">
      <alignment horizontal="left"/>
    </xf>
    <xf numFmtId="0" fontId="22" fillId="0" borderId="15" xfId="2" applyFont="1" applyBorder="1" applyAlignment="1">
      <alignment horizontal="left"/>
    </xf>
    <xf numFmtId="0" fontId="22" fillId="5" borderId="2" xfId="2" applyFont="1" applyFill="1" applyBorder="1" applyAlignment="1">
      <alignment horizontal="center"/>
    </xf>
    <xf numFmtId="0" fontId="5" fillId="5" borderId="2" xfId="2" applyFill="1" applyBorder="1" applyAlignment="1">
      <alignment horizontal="center"/>
    </xf>
    <xf numFmtId="2" fontId="22" fillId="5" borderId="2" xfId="2" applyNumberFormat="1" applyFont="1" applyFill="1" applyBorder="1" applyAlignment="1">
      <alignment horizontal="center"/>
    </xf>
    <xf numFmtId="0" fontId="24" fillId="0" borderId="13" xfId="2" applyFont="1" applyBorder="1" applyAlignment="1">
      <alignment horizontal="center"/>
    </xf>
    <xf numFmtId="0" fontId="24" fillId="0" borderId="14" xfId="2" applyFont="1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5" fillId="0" borderId="0" xfId="2" applyFont="1" applyAlignment="1">
      <alignment horizont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showGridLines="0" workbookViewId="0">
      <selection activeCell="C11" sqref="C11:E11"/>
    </sheetView>
  </sheetViews>
  <sheetFormatPr defaultColWidth="9.140625" defaultRowHeight="17.100000000000001" customHeight="1"/>
  <cols>
    <col min="1" max="1" width="6.28515625" style="1" customWidth="1"/>
    <col min="2" max="2" width="33" style="1" customWidth="1"/>
    <col min="3" max="17" width="6.140625" style="1" customWidth="1"/>
    <col min="18" max="18" width="10.7109375" style="1" customWidth="1"/>
    <col min="19" max="19" width="11.28515625" style="1" customWidth="1"/>
    <col min="20" max="20" width="10.7109375" style="1" customWidth="1"/>
    <col min="21" max="16384" width="9.140625" style="1"/>
  </cols>
  <sheetData>
    <row r="1" spans="1:17" ht="30.4" customHeight="1">
      <c r="A1" s="108" t="s">
        <v>128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17.100000000000001" customHeight="1">
      <c r="M2" s="73" t="s">
        <v>0</v>
      </c>
      <c r="N2" s="73"/>
      <c r="O2" s="109" t="str">
        <f>Sheet2!Q4</f>
        <v>2018-19</v>
      </c>
      <c r="P2" s="109"/>
      <c r="Q2" s="109"/>
    </row>
    <row r="3" spans="1:17" ht="17.100000000000001" customHeight="1">
      <c r="M3" s="73" t="s">
        <v>1</v>
      </c>
      <c r="N3" s="73"/>
      <c r="O3" s="109" t="str">
        <f>Sheet2!Q5</f>
        <v>April</v>
      </c>
      <c r="P3" s="109"/>
      <c r="Q3" s="109"/>
    </row>
    <row r="5" spans="1:17" ht="17.100000000000001" customHeight="1">
      <c r="A5" s="2" t="s">
        <v>2</v>
      </c>
      <c r="B5" s="3" t="s">
        <v>3</v>
      </c>
      <c r="C5" s="4">
        <f>Sheet2!D7</f>
        <v>0</v>
      </c>
      <c r="D5" s="4">
        <f>Sheet2!E7</f>
        <v>0</v>
      </c>
      <c r="E5" s="4">
        <f>Sheet2!F7</f>
        <v>0</v>
      </c>
      <c r="F5" s="4">
        <f>Sheet2!G7</f>
        <v>0</v>
      </c>
      <c r="G5" s="4">
        <f>Sheet2!H7</f>
        <v>0</v>
      </c>
      <c r="H5" s="4">
        <f>Sheet2!I7</f>
        <v>0</v>
      </c>
      <c r="I5" s="4">
        <f>Sheet2!J7</f>
        <v>0</v>
      </c>
      <c r="J5" s="4">
        <f>Sheet2!K7</f>
        <v>0</v>
      </c>
      <c r="K5" s="4">
        <f>Sheet2!L7</f>
        <v>0</v>
      </c>
      <c r="L5" s="4">
        <f>Sheet2!M7</f>
        <v>0</v>
      </c>
      <c r="M5" s="4">
        <f>Sheet2!N7</f>
        <v>0</v>
      </c>
      <c r="N5" s="4">
        <f>Sheet2!O7</f>
        <v>0</v>
      </c>
      <c r="O5" s="4">
        <f>Sheet2!P7</f>
        <v>0</v>
      </c>
      <c r="P5" s="4">
        <f>Sheet2!Q7</f>
        <v>0</v>
      </c>
      <c r="Q5" s="4">
        <f>Sheet2!R7</f>
        <v>0</v>
      </c>
    </row>
    <row r="6" spans="1:17" ht="17.100000000000001" customHeight="1">
      <c r="A6" s="2" t="s">
        <v>4</v>
      </c>
      <c r="B6" s="3" t="s">
        <v>5</v>
      </c>
      <c r="C6" s="110">
        <f>Sheet2!D8</f>
        <v>0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8" spans="1:17" ht="17.100000000000001" customHeight="1">
      <c r="A8" s="5" t="s">
        <v>6</v>
      </c>
      <c r="B8" s="6" t="s">
        <v>7</v>
      </c>
    </row>
    <row r="9" spans="1:17" ht="17.100000000000001" customHeight="1">
      <c r="A9" s="73" t="s">
        <v>8</v>
      </c>
      <c r="B9" s="73"/>
      <c r="C9" s="73" t="s">
        <v>9</v>
      </c>
      <c r="D9" s="73"/>
      <c r="E9" s="73"/>
      <c r="F9" s="73" t="s">
        <v>10</v>
      </c>
      <c r="G9" s="73"/>
      <c r="H9" s="73"/>
      <c r="I9" s="73" t="s">
        <v>11</v>
      </c>
      <c r="J9" s="73"/>
      <c r="K9" s="73"/>
      <c r="L9" s="73" t="s">
        <v>12</v>
      </c>
      <c r="M9" s="73"/>
      <c r="N9" s="73"/>
      <c r="O9" s="73" t="s">
        <v>13</v>
      </c>
      <c r="P9" s="73"/>
      <c r="Q9" s="73"/>
    </row>
    <row r="10" spans="1:17" ht="17.100000000000001" customHeight="1">
      <c r="A10" s="73">
        <v>1</v>
      </c>
      <c r="B10" s="73"/>
      <c r="C10" s="73">
        <v>2</v>
      </c>
      <c r="D10" s="73"/>
      <c r="E10" s="73"/>
      <c r="F10" s="73">
        <v>3</v>
      </c>
      <c r="G10" s="73"/>
      <c r="H10" s="73"/>
      <c r="I10" s="73">
        <v>4</v>
      </c>
      <c r="J10" s="73"/>
      <c r="K10" s="73"/>
      <c r="L10" s="73">
        <v>5</v>
      </c>
      <c r="M10" s="73"/>
      <c r="N10" s="73"/>
      <c r="O10" s="73">
        <v>6</v>
      </c>
      <c r="P10" s="73"/>
      <c r="Q10" s="73"/>
    </row>
    <row r="11" spans="1:17" ht="30.4" customHeight="1">
      <c r="A11" s="100" t="s">
        <v>14</v>
      </c>
      <c r="B11" s="100"/>
      <c r="C11" s="84">
        <f>Sheet2!D14</f>
        <v>0</v>
      </c>
      <c r="D11" s="85"/>
      <c r="E11" s="86"/>
      <c r="F11" s="84">
        <f>Sheet2!G14</f>
        <v>0</v>
      </c>
      <c r="G11" s="85"/>
      <c r="H11" s="86"/>
      <c r="I11" s="84">
        <f>Sheet2!J14</f>
        <v>0</v>
      </c>
      <c r="J11" s="85"/>
      <c r="K11" s="86"/>
      <c r="L11" s="84">
        <f>Sheet2!M14</f>
        <v>0</v>
      </c>
      <c r="M11" s="85"/>
      <c r="N11" s="86"/>
      <c r="O11" s="84">
        <f>Sheet2!P14</f>
        <v>0</v>
      </c>
      <c r="P11" s="85"/>
      <c r="Q11" s="86"/>
    </row>
    <row r="12" spans="1:17" ht="17.100000000000001" customHeight="1">
      <c r="A12" s="100" t="s">
        <v>15</v>
      </c>
      <c r="B12" s="100"/>
      <c r="C12" s="84">
        <f>Sheet2!D15</f>
        <v>0</v>
      </c>
      <c r="D12" s="85"/>
      <c r="E12" s="86"/>
      <c r="F12" s="84">
        <f>Sheet2!G15</f>
        <v>0</v>
      </c>
      <c r="G12" s="85"/>
      <c r="H12" s="86"/>
      <c r="I12" s="105">
        <f>Sheet2!J15</f>
        <v>0</v>
      </c>
      <c r="J12" s="106"/>
      <c r="K12" s="107"/>
      <c r="L12" s="105">
        <f>Sheet2!M15</f>
        <v>0</v>
      </c>
      <c r="M12" s="106"/>
      <c r="N12" s="107"/>
      <c r="O12" s="84">
        <f>Sheet2!P15</f>
        <v>0</v>
      </c>
      <c r="P12" s="85"/>
      <c r="Q12" s="86"/>
    </row>
    <row r="13" spans="1:17" ht="30.4" customHeight="1">
      <c r="A13" s="100" t="s">
        <v>16</v>
      </c>
      <c r="B13" s="100"/>
      <c r="C13" s="84">
        <f>Sheet2!D16</f>
        <v>0</v>
      </c>
      <c r="D13" s="85"/>
      <c r="E13" s="86"/>
      <c r="F13" s="105">
        <f>Sheet2!G16</f>
        <v>0</v>
      </c>
      <c r="G13" s="106"/>
      <c r="H13" s="107"/>
      <c r="I13" s="105">
        <f>Sheet2!J16</f>
        <v>0</v>
      </c>
      <c r="J13" s="106"/>
      <c r="K13" s="107"/>
      <c r="L13" s="105">
        <f>Sheet2!M16</f>
        <v>0</v>
      </c>
      <c r="M13" s="106"/>
      <c r="N13" s="107"/>
      <c r="O13" s="105">
        <f>Sheet2!P16</f>
        <v>0</v>
      </c>
      <c r="P13" s="106"/>
      <c r="Q13" s="107"/>
    </row>
    <row r="14" spans="1:17" ht="30.4" customHeight="1">
      <c r="A14" s="100" t="s">
        <v>17</v>
      </c>
      <c r="B14" s="100"/>
      <c r="C14" s="84">
        <f>Sheet2!D17</f>
        <v>0</v>
      </c>
      <c r="D14" s="85"/>
      <c r="E14" s="86"/>
      <c r="F14" s="84">
        <f>Sheet2!G17</f>
        <v>0</v>
      </c>
      <c r="G14" s="85"/>
      <c r="H14" s="86"/>
      <c r="I14" s="84">
        <f>Sheet2!J17</f>
        <v>0</v>
      </c>
      <c r="J14" s="85"/>
      <c r="K14" s="86"/>
      <c r="L14" s="84">
        <f>Sheet2!M17</f>
        <v>0</v>
      </c>
      <c r="M14" s="85"/>
      <c r="N14" s="86"/>
      <c r="O14" s="84">
        <f>Sheet2!P17</f>
        <v>0</v>
      </c>
      <c r="P14" s="85"/>
      <c r="Q14" s="86"/>
    </row>
    <row r="15" spans="1:17" ht="17.100000000000001" customHeight="1">
      <c r="A15" s="100" t="s">
        <v>18</v>
      </c>
      <c r="B15" s="100"/>
      <c r="C15" s="84">
        <f>Sheet2!D18</f>
        <v>0</v>
      </c>
      <c r="D15" s="85"/>
      <c r="E15" s="86"/>
      <c r="F15" s="105">
        <f>Sheet2!G18</f>
        <v>0</v>
      </c>
      <c r="G15" s="106"/>
      <c r="H15" s="107"/>
      <c r="I15" s="105">
        <f>Sheet2!J18</f>
        <v>0</v>
      </c>
      <c r="J15" s="106"/>
      <c r="K15" s="107"/>
      <c r="L15" s="105">
        <f>Sheet2!M18</f>
        <v>0</v>
      </c>
      <c r="M15" s="106"/>
      <c r="N15" s="107"/>
      <c r="O15" s="105">
        <f>Sheet2!P18</f>
        <v>0</v>
      </c>
      <c r="P15" s="106"/>
      <c r="Q15" s="107"/>
    </row>
    <row r="16" spans="1:17" ht="17.100000000000001" customHeight="1">
      <c r="A16" s="80" t="s">
        <v>19</v>
      </c>
      <c r="B16" s="80"/>
      <c r="C16" s="102">
        <f>+SUM(C11:E15)</f>
        <v>0</v>
      </c>
      <c r="D16" s="103"/>
      <c r="E16" s="104"/>
      <c r="F16" s="102">
        <f>+SUM(F11:H12,F14)</f>
        <v>0</v>
      </c>
      <c r="G16" s="103"/>
      <c r="H16" s="104"/>
      <c r="I16" s="102">
        <f>+SUM(I11,I14)</f>
        <v>0</v>
      </c>
      <c r="J16" s="103"/>
      <c r="K16" s="104"/>
      <c r="L16" s="102">
        <f>+SUM(L11,L14)</f>
        <v>0</v>
      </c>
      <c r="M16" s="103"/>
      <c r="N16" s="104"/>
      <c r="O16" s="102">
        <f>+SUM(O11:Q12,O14)</f>
        <v>0</v>
      </c>
      <c r="P16" s="103"/>
      <c r="Q16" s="104"/>
    </row>
    <row r="18" spans="1:17" ht="30.4" customHeight="1">
      <c r="A18" s="5" t="s">
        <v>20</v>
      </c>
      <c r="B18" s="101" t="s">
        <v>21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</row>
    <row r="19" spans="1:17" ht="17.100000000000001" customHeight="1">
      <c r="A19" s="73" t="s">
        <v>8</v>
      </c>
      <c r="B19" s="73"/>
      <c r="C19" s="73" t="s">
        <v>9</v>
      </c>
      <c r="D19" s="73"/>
      <c r="E19" s="73"/>
      <c r="F19" s="73" t="s">
        <v>10</v>
      </c>
      <c r="G19" s="73"/>
      <c r="H19" s="73"/>
      <c r="I19" s="73" t="s">
        <v>11</v>
      </c>
      <c r="J19" s="73"/>
      <c r="K19" s="73"/>
      <c r="L19" s="73" t="s">
        <v>12</v>
      </c>
      <c r="M19" s="73"/>
      <c r="N19" s="73"/>
      <c r="O19" s="73" t="s">
        <v>13</v>
      </c>
      <c r="P19" s="73"/>
      <c r="Q19" s="73"/>
    </row>
    <row r="20" spans="1:17" ht="17.100000000000001" customHeight="1">
      <c r="A20" s="73">
        <v>1</v>
      </c>
      <c r="B20" s="73"/>
      <c r="C20" s="73">
        <v>2</v>
      </c>
      <c r="D20" s="73"/>
      <c r="E20" s="73"/>
      <c r="F20" s="73">
        <v>3</v>
      </c>
      <c r="G20" s="73"/>
      <c r="H20" s="73"/>
      <c r="I20" s="73">
        <v>4</v>
      </c>
      <c r="J20" s="73"/>
      <c r="K20" s="73"/>
      <c r="L20" s="73">
        <v>5</v>
      </c>
      <c r="M20" s="73"/>
      <c r="N20" s="73"/>
      <c r="O20" s="73">
        <v>6</v>
      </c>
      <c r="P20" s="73"/>
      <c r="Q20" s="73"/>
    </row>
    <row r="21" spans="1:17" ht="69" customHeight="1">
      <c r="A21" s="100" t="s">
        <v>22</v>
      </c>
      <c r="B21" s="100"/>
      <c r="C21" s="84"/>
      <c r="D21" s="85"/>
      <c r="E21" s="86"/>
      <c r="F21" s="84"/>
      <c r="G21" s="85"/>
      <c r="H21" s="86"/>
      <c r="I21" s="84"/>
      <c r="J21" s="85"/>
      <c r="K21" s="86"/>
      <c r="L21" s="84"/>
      <c r="M21" s="85"/>
      <c r="N21" s="86"/>
      <c r="O21" s="84"/>
      <c r="P21" s="85"/>
      <c r="Q21" s="86"/>
    </row>
    <row r="22" spans="1:17" ht="93.4" customHeight="1">
      <c r="A22" s="100" t="s">
        <v>23</v>
      </c>
      <c r="B22" s="100"/>
      <c r="C22" s="84">
        <f>Sheet2!D19</f>
        <v>0</v>
      </c>
      <c r="D22" s="85"/>
      <c r="E22" s="86"/>
      <c r="F22" s="84">
        <f>Sheet2!G19</f>
        <v>0</v>
      </c>
      <c r="G22" s="85"/>
      <c r="H22" s="86"/>
      <c r="I22" s="84">
        <f>Sheet2!J19</f>
        <v>0</v>
      </c>
      <c r="J22" s="85"/>
      <c r="K22" s="86"/>
      <c r="L22" s="84">
        <f>Sheet2!M19</f>
        <v>0</v>
      </c>
      <c r="M22" s="85"/>
      <c r="N22" s="86"/>
      <c r="O22" s="84">
        <f>Sheet2!P19</f>
        <v>0</v>
      </c>
      <c r="P22" s="85"/>
      <c r="Q22" s="86"/>
    </row>
    <row r="24" spans="1:17" ht="30.4" customHeight="1">
      <c r="A24" s="5" t="s">
        <v>24</v>
      </c>
      <c r="B24" s="99" t="s">
        <v>25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spans="1:17" ht="17.100000000000001" customHeight="1">
      <c r="A25" s="66" t="s">
        <v>26</v>
      </c>
      <c r="B25" s="67"/>
      <c r="C25" s="67"/>
      <c r="D25" s="67"/>
      <c r="E25" s="68"/>
      <c r="F25" s="66" t="s">
        <v>27</v>
      </c>
      <c r="G25" s="67"/>
      <c r="H25" s="67"/>
      <c r="I25" s="68"/>
      <c r="J25" s="66" t="s">
        <v>9</v>
      </c>
      <c r="K25" s="67"/>
      <c r="L25" s="67"/>
      <c r="M25" s="68"/>
      <c r="N25" s="66" t="s">
        <v>10</v>
      </c>
      <c r="O25" s="67"/>
      <c r="P25" s="67"/>
      <c r="Q25" s="68"/>
    </row>
    <row r="26" spans="1:17" ht="17.100000000000001" customHeight="1">
      <c r="A26" s="66">
        <v>1</v>
      </c>
      <c r="B26" s="67"/>
      <c r="C26" s="67"/>
      <c r="D26" s="67"/>
      <c r="E26" s="68"/>
      <c r="F26" s="66">
        <v>2</v>
      </c>
      <c r="G26" s="67"/>
      <c r="H26" s="67"/>
      <c r="I26" s="68"/>
      <c r="J26" s="66">
        <v>3</v>
      </c>
      <c r="K26" s="67"/>
      <c r="L26" s="67"/>
      <c r="M26" s="68"/>
      <c r="N26" s="66">
        <v>4</v>
      </c>
      <c r="O26" s="67"/>
      <c r="P26" s="67"/>
      <c r="Q26" s="68"/>
    </row>
    <row r="27" spans="1:17" ht="17.100000000000001" customHeight="1">
      <c r="A27" s="71" t="s">
        <v>28</v>
      </c>
      <c r="B27" s="71"/>
      <c r="C27" s="71"/>
      <c r="D27" s="71"/>
      <c r="E27" s="71"/>
      <c r="F27" s="92"/>
      <c r="G27" s="93"/>
      <c r="H27" s="93"/>
      <c r="I27" s="94"/>
      <c r="J27" s="84"/>
      <c r="K27" s="85"/>
      <c r="L27" s="85"/>
      <c r="M27" s="86"/>
      <c r="N27" s="84"/>
      <c r="O27" s="85"/>
      <c r="P27" s="85"/>
      <c r="Q27" s="86"/>
    </row>
    <row r="28" spans="1:17" ht="17.100000000000001" customHeight="1">
      <c r="A28" s="71" t="s">
        <v>28</v>
      </c>
      <c r="B28" s="71"/>
      <c r="C28" s="71"/>
      <c r="D28" s="71"/>
      <c r="E28" s="71"/>
      <c r="F28" s="92"/>
      <c r="G28" s="93"/>
      <c r="H28" s="93"/>
      <c r="I28" s="94"/>
      <c r="J28" s="84"/>
      <c r="K28" s="85"/>
      <c r="L28" s="85"/>
      <c r="M28" s="86"/>
      <c r="N28" s="84"/>
      <c r="O28" s="85"/>
      <c r="P28" s="85"/>
      <c r="Q28" s="86"/>
    </row>
    <row r="29" spans="1:17" ht="17.100000000000001" customHeight="1">
      <c r="A29" s="71" t="s">
        <v>28</v>
      </c>
      <c r="B29" s="71"/>
      <c r="C29" s="71"/>
      <c r="D29" s="71"/>
      <c r="E29" s="71"/>
      <c r="F29" s="92"/>
      <c r="G29" s="93"/>
      <c r="H29" s="93"/>
      <c r="I29" s="94"/>
      <c r="J29" s="84"/>
      <c r="K29" s="85"/>
      <c r="L29" s="85"/>
      <c r="M29" s="86"/>
      <c r="N29" s="84"/>
      <c r="O29" s="85"/>
      <c r="P29" s="85"/>
      <c r="Q29" s="86"/>
    </row>
    <row r="30" spans="1:17" ht="17.100000000000001" customHeight="1">
      <c r="A30" s="71" t="s">
        <v>28</v>
      </c>
      <c r="B30" s="71"/>
      <c r="C30" s="71"/>
      <c r="D30" s="71"/>
      <c r="E30" s="71"/>
      <c r="F30" s="92"/>
      <c r="G30" s="93"/>
      <c r="H30" s="93"/>
      <c r="I30" s="94"/>
      <c r="J30" s="84"/>
      <c r="K30" s="85"/>
      <c r="L30" s="85"/>
      <c r="M30" s="86"/>
      <c r="N30" s="84"/>
      <c r="O30" s="85"/>
      <c r="P30" s="85"/>
      <c r="Q30" s="86"/>
    </row>
    <row r="31" spans="1:17" ht="17.100000000000001" customHeight="1">
      <c r="A31" s="71" t="s">
        <v>28</v>
      </c>
      <c r="B31" s="71"/>
      <c r="C31" s="71"/>
      <c r="D31" s="71"/>
      <c r="E31" s="71"/>
      <c r="F31" s="92"/>
      <c r="G31" s="93"/>
      <c r="H31" s="93"/>
      <c r="I31" s="94"/>
      <c r="J31" s="84"/>
      <c r="K31" s="85"/>
      <c r="L31" s="85"/>
      <c r="M31" s="86"/>
      <c r="N31" s="84"/>
      <c r="O31" s="85"/>
      <c r="P31" s="85"/>
      <c r="Q31" s="86"/>
    </row>
    <row r="32" spans="1:17" ht="17.100000000000001" customHeight="1">
      <c r="A32" s="71" t="s">
        <v>28</v>
      </c>
      <c r="B32" s="71"/>
      <c r="C32" s="71"/>
      <c r="D32" s="71"/>
      <c r="E32" s="71"/>
      <c r="F32" s="92"/>
      <c r="G32" s="93"/>
      <c r="H32" s="93"/>
      <c r="I32" s="94"/>
      <c r="J32" s="84"/>
      <c r="K32" s="85"/>
      <c r="L32" s="85"/>
      <c r="M32" s="86"/>
      <c r="N32" s="84"/>
      <c r="O32" s="85"/>
      <c r="P32" s="85"/>
      <c r="Q32" s="86"/>
    </row>
    <row r="33" spans="1:17" ht="17.100000000000001" customHeight="1">
      <c r="A33" s="71" t="s">
        <v>28</v>
      </c>
      <c r="B33" s="71"/>
      <c r="C33" s="71"/>
      <c r="D33" s="71"/>
      <c r="E33" s="71"/>
      <c r="F33" s="92"/>
      <c r="G33" s="93"/>
      <c r="H33" s="93"/>
      <c r="I33" s="94"/>
      <c r="J33" s="84"/>
      <c r="K33" s="85"/>
      <c r="L33" s="85"/>
      <c r="M33" s="86"/>
      <c r="N33" s="84"/>
      <c r="O33" s="85"/>
      <c r="P33" s="85"/>
      <c r="Q33" s="86"/>
    </row>
    <row r="34" spans="1:17" ht="17.100000000000001" customHeight="1">
      <c r="A34" s="71" t="s">
        <v>28</v>
      </c>
      <c r="B34" s="71"/>
      <c r="C34" s="71"/>
      <c r="D34" s="71"/>
      <c r="E34" s="71"/>
      <c r="F34" s="92"/>
      <c r="G34" s="93"/>
      <c r="H34" s="93"/>
      <c r="I34" s="94"/>
      <c r="J34" s="84"/>
      <c r="K34" s="85"/>
      <c r="L34" s="85"/>
      <c r="M34" s="86"/>
      <c r="N34" s="84"/>
      <c r="O34" s="85"/>
      <c r="P34" s="85"/>
      <c r="Q34" s="86"/>
    </row>
    <row r="35" spans="1:17" ht="17.100000000000001" customHeight="1">
      <c r="A35" s="71" t="s">
        <v>28</v>
      </c>
      <c r="B35" s="71"/>
      <c r="C35" s="71"/>
      <c r="D35" s="71"/>
      <c r="E35" s="71"/>
      <c r="F35" s="92"/>
      <c r="G35" s="93"/>
      <c r="H35" s="93"/>
      <c r="I35" s="94"/>
      <c r="J35" s="84"/>
      <c r="K35" s="85"/>
      <c r="L35" s="85"/>
      <c r="M35" s="86"/>
      <c r="N35" s="84"/>
      <c r="O35" s="85"/>
      <c r="P35" s="85"/>
      <c r="Q35" s="86"/>
    </row>
    <row r="36" spans="1:17" ht="17.100000000000001" customHeight="1">
      <c r="A36" s="71" t="s">
        <v>28</v>
      </c>
      <c r="B36" s="71"/>
      <c r="C36" s="71"/>
      <c r="D36" s="71"/>
      <c r="E36" s="71"/>
      <c r="F36" s="92"/>
      <c r="G36" s="93"/>
      <c r="H36" s="93"/>
      <c r="I36" s="94"/>
      <c r="J36" s="84"/>
      <c r="K36" s="85"/>
      <c r="L36" s="85"/>
      <c r="M36" s="86"/>
      <c r="N36" s="84"/>
      <c r="O36" s="85"/>
      <c r="P36" s="85"/>
      <c r="Q36" s="86"/>
    </row>
    <row r="37" spans="1:17" ht="17.100000000000001" customHeight="1">
      <c r="A37" s="71" t="s">
        <v>28</v>
      </c>
      <c r="B37" s="71"/>
      <c r="C37" s="71"/>
      <c r="D37" s="71"/>
      <c r="E37" s="71"/>
      <c r="F37" s="92"/>
      <c r="G37" s="93"/>
      <c r="H37" s="93"/>
      <c r="I37" s="94"/>
      <c r="J37" s="84"/>
      <c r="K37" s="85"/>
      <c r="L37" s="85"/>
      <c r="M37" s="86"/>
      <c r="N37" s="84"/>
      <c r="O37" s="85"/>
      <c r="P37" s="85"/>
      <c r="Q37" s="86"/>
    </row>
    <row r="38" spans="1:17" ht="17.100000000000001" customHeight="1">
      <c r="A38" s="71" t="s">
        <v>28</v>
      </c>
      <c r="B38" s="71"/>
      <c r="C38" s="71"/>
      <c r="D38" s="71"/>
      <c r="E38" s="71"/>
      <c r="F38" s="92"/>
      <c r="G38" s="93"/>
      <c r="H38" s="93"/>
      <c r="I38" s="94"/>
      <c r="J38" s="84"/>
      <c r="K38" s="85"/>
      <c r="L38" s="85"/>
      <c r="M38" s="86"/>
      <c r="N38" s="84"/>
      <c r="O38" s="85"/>
      <c r="P38" s="85"/>
      <c r="Q38" s="86"/>
    </row>
    <row r="39" spans="1:17" ht="17.100000000000001" customHeight="1">
      <c r="A39" s="71" t="s">
        <v>28</v>
      </c>
      <c r="B39" s="71"/>
      <c r="C39" s="71"/>
      <c r="D39" s="71"/>
      <c r="E39" s="71"/>
      <c r="F39" s="92"/>
      <c r="G39" s="93"/>
      <c r="H39" s="93"/>
      <c r="I39" s="94"/>
      <c r="J39" s="84"/>
      <c r="K39" s="85"/>
      <c r="L39" s="85"/>
      <c r="M39" s="86"/>
      <c r="N39" s="84"/>
      <c r="O39" s="85"/>
      <c r="P39" s="85"/>
      <c r="Q39" s="86"/>
    </row>
    <row r="40" spans="1:17" ht="17.100000000000001" customHeight="1">
      <c r="A40" s="71" t="s">
        <v>28</v>
      </c>
      <c r="B40" s="71"/>
      <c r="C40" s="71"/>
      <c r="D40" s="71"/>
      <c r="E40" s="71"/>
      <c r="F40" s="92"/>
      <c r="G40" s="93"/>
      <c r="H40" s="93"/>
      <c r="I40" s="94"/>
      <c r="J40" s="84"/>
      <c r="K40" s="85"/>
      <c r="L40" s="85"/>
      <c r="M40" s="86"/>
      <c r="N40" s="84"/>
      <c r="O40" s="85"/>
      <c r="P40" s="85"/>
      <c r="Q40" s="86"/>
    </row>
    <row r="41" spans="1:17" ht="17.100000000000001" customHeight="1">
      <c r="A41" s="71" t="s">
        <v>28</v>
      </c>
      <c r="B41" s="71"/>
      <c r="C41" s="71"/>
      <c r="D41" s="71"/>
      <c r="E41" s="71"/>
      <c r="F41" s="92"/>
      <c r="G41" s="93"/>
      <c r="H41" s="93"/>
      <c r="I41" s="94"/>
      <c r="J41" s="84"/>
      <c r="K41" s="85"/>
      <c r="L41" s="85"/>
      <c r="M41" s="86"/>
      <c r="N41" s="84"/>
      <c r="O41" s="85"/>
      <c r="P41" s="85"/>
      <c r="Q41" s="86"/>
    </row>
    <row r="42" spans="1:17" ht="17.100000000000001" customHeight="1">
      <c r="A42" s="71" t="s">
        <v>28</v>
      </c>
      <c r="B42" s="71"/>
      <c r="C42" s="71"/>
      <c r="D42" s="71"/>
      <c r="E42" s="71"/>
      <c r="F42" s="92"/>
      <c r="G42" s="93"/>
      <c r="H42" s="93"/>
      <c r="I42" s="94"/>
      <c r="J42" s="84"/>
      <c r="K42" s="85"/>
      <c r="L42" s="85"/>
      <c r="M42" s="86"/>
      <c r="N42" s="84"/>
      <c r="O42" s="85"/>
      <c r="P42" s="85"/>
      <c r="Q42" s="86"/>
    </row>
    <row r="43" spans="1:17" ht="17.100000000000001" customHeight="1">
      <c r="A43" s="71" t="s">
        <v>28</v>
      </c>
      <c r="B43" s="71"/>
      <c r="C43" s="71"/>
      <c r="D43" s="71"/>
      <c r="E43" s="71"/>
      <c r="F43" s="92"/>
      <c r="G43" s="93"/>
      <c r="H43" s="93"/>
      <c r="I43" s="94"/>
      <c r="J43" s="84"/>
      <c r="K43" s="85"/>
      <c r="L43" s="85"/>
      <c r="M43" s="86"/>
      <c r="N43" s="84"/>
      <c r="O43" s="85"/>
      <c r="P43" s="85"/>
      <c r="Q43" s="86"/>
    </row>
    <row r="44" spans="1:17" ht="17.100000000000001" customHeight="1">
      <c r="A44" s="71" t="s">
        <v>28</v>
      </c>
      <c r="B44" s="71"/>
      <c r="C44" s="71"/>
      <c r="D44" s="71"/>
      <c r="E44" s="71"/>
      <c r="F44" s="92"/>
      <c r="G44" s="93"/>
      <c r="H44" s="93"/>
      <c r="I44" s="94"/>
      <c r="J44" s="84"/>
      <c r="K44" s="85"/>
      <c r="L44" s="85"/>
      <c r="M44" s="86"/>
      <c r="N44" s="84"/>
      <c r="O44" s="85"/>
      <c r="P44" s="85"/>
      <c r="Q44" s="86"/>
    </row>
    <row r="45" spans="1:17" ht="17.100000000000001" customHeight="1">
      <c r="A45" s="71" t="s">
        <v>28</v>
      </c>
      <c r="B45" s="71"/>
      <c r="C45" s="71"/>
      <c r="D45" s="71"/>
      <c r="E45" s="71"/>
      <c r="F45" s="92"/>
      <c r="G45" s="93"/>
      <c r="H45" s="93"/>
      <c r="I45" s="94"/>
      <c r="J45" s="84"/>
      <c r="K45" s="85"/>
      <c r="L45" s="85"/>
      <c r="M45" s="86"/>
      <c r="N45" s="84"/>
      <c r="O45" s="85"/>
      <c r="P45" s="85"/>
      <c r="Q45" s="86"/>
    </row>
    <row r="46" spans="1:17" ht="17.100000000000001" customHeight="1">
      <c r="A46" s="71" t="s">
        <v>28</v>
      </c>
      <c r="B46" s="71"/>
      <c r="C46" s="71"/>
      <c r="D46" s="71"/>
      <c r="E46" s="71"/>
      <c r="F46" s="92"/>
      <c r="G46" s="93"/>
      <c r="H46" s="93"/>
      <c r="I46" s="94"/>
      <c r="J46" s="84"/>
      <c r="K46" s="85"/>
      <c r="L46" s="85"/>
      <c r="M46" s="86"/>
      <c r="N46" s="84"/>
      <c r="O46" s="85"/>
      <c r="P46" s="85"/>
      <c r="Q46" s="86"/>
    </row>
    <row r="47" spans="1:17" ht="17.100000000000001" customHeight="1">
      <c r="A47" s="71" t="s">
        <v>28</v>
      </c>
      <c r="B47" s="71"/>
      <c r="C47" s="71"/>
      <c r="D47" s="71"/>
      <c r="E47" s="71"/>
      <c r="F47" s="92"/>
      <c r="G47" s="93"/>
      <c r="H47" s="93"/>
      <c r="I47" s="94"/>
      <c r="J47" s="84"/>
      <c r="K47" s="85"/>
      <c r="L47" s="85"/>
      <c r="M47" s="86"/>
      <c r="N47" s="84"/>
      <c r="O47" s="85"/>
      <c r="P47" s="85"/>
      <c r="Q47" s="86"/>
    </row>
    <row r="48" spans="1:17" ht="17.100000000000001" customHeight="1">
      <c r="A48" s="71" t="s">
        <v>28</v>
      </c>
      <c r="B48" s="71"/>
      <c r="C48" s="71"/>
      <c r="D48" s="71"/>
      <c r="E48" s="71"/>
      <c r="F48" s="92"/>
      <c r="G48" s="93"/>
      <c r="H48" s="93"/>
      <c r="I48" s="94"/>
      <c r="J48" s="84"/>
      <c r="K48" s="85"/>
      <c r="L48" s="85"/>
      <c r="M48" s="86"/>
      <c r="N48" s="84"/>
      <c r="O48" s="85"/>
      <c r="P48" s="85"/>
      <c r="Q48" s="86"/>
    </row>
    <row r="49" spans="1:17" ht="17.100000000000001" customHeight="1">
      <c r="A49" s="71" t="s">
        <v>28</v>
      </c>
      <c r="B49" s="71"/>
      <c r="C49" s="71"/>
      <c r="D49" s="71"/>
      <c r="E49" s="71"/>
      <c r="F49" s="92"/>
      <c r="G49" s="93"/>
      <c r="H49" s="93"/>
      <c r="I49" s="94"/>
      <c r="J49" s="84"/>
      <c r="K49" s="85"/>
      <c r="L49" s="85"/>
      <c r="M49" s="86"/>
      <c r="N49" s="84"/>
      <c r="O49" s="85"/>
      <c r="P49" s="85"/>
      <c r="Q49" s="86"/>
    </row>
    <row r="50" spans="1:17" ht="17.100000000000001" customHeight="1">
      <c r="A50" s="71" t="s">
        <v>28</v>
      </c>
      <c r="B50" s="71"/>
      <c r="C50" s="71"/>
      <c r="D50" s="71"/>
      <c r="E50" s="71"/>
      <c r="F50" s="92"/>
      <c r="G50" s="93"/>
      <c r="H50" s="93"/>
      <c r="I50" s="94"/>
      <c r="J50" s="84"/>
      <c r="K50" s="85"/>
      <c r="L50" s="85"/>
      <c r="M50" s="86"/>
      <c r="N50" s="84"/>
      <c r="O50" s="85"/>
      <c r="P50" s="85"/>
      <c r="Q50" s="86"/>
    </row>
    <row r="51" spans="1:17" ht="17.100000000000001" customHeight="1">
      <c r="A51" s="71" t="s">
        <v>28</v>
      </c>
      <c r="B51" s="71"/>
      <c r="C51" s="71"/>
      <c r="D51" s="71"/>
      <c r="E51" s="71"/>
      <c r="F51" s="92"/>
      <c r="G51" s="93"/>
      <c r="H51" s="93"/>
      <c r="I51" s="94"/>
      <c r="J51" s="84"/>
      <c r="K51" s="85"/>
      <c r="L51" s="85"/>
      <c r="M51" s="86"/>
      <c r="N51" s="84"/>
      <c r="O51" s="85"/>
      <c r="P51" s="85"/>
      <c r="Q51" s="86"/>
    </row>
    <row r="52" spans="1:17" ht="17.100000000000001" customHeight="1">
      <c r="A52" s="71" t="s">
        <v>28</v>
      </c>
      <c r="B52" s="71"/>
      <c r="C52" s="71"/>
      <c r="D52" s="71"/>
      <c r="E52" s="71"/>
      <c r="F52" s="92"/>
      <c r="G52" s="93"/>
      <c r="H52" s="93"/>
      <c r="I52" s="94"/>
      <c r="J52" s="84"/>
      <c r="K52" s="85"/>
      <c r="L52" s="85"/>
      <c r="M52" s="86"/>
      <c r="N52" s="84"/>
      <c r="O52" s="85"/>
      <c r="P52" s="85"/>
      <c r="Q52" s="86"/>
    </row>
    <row r="53" spans="1:17" ht="17.100000000000001" customHeight="1">
      <c r="A53" s="71" t="s">
        <v>28</v>
      </c>
      <c r="B53" s="71"/>
      <c r="C53" s="71"/>
      <c r="D53" s="71"/>
      <c r="E53" s="71"/>
      <c r="F53" s="92"/>
      <c r="G53" s="93"/>
      <c r="H53" s="93"/>
      <c r="I53" s="94"/>
      <c r="J53" s="84"/>
      <c r="K53" s="85"/>
      <c r="L53" s="85"/>
      <c r="M53" s="86"/>
      <c r="N53" s="84"/>
      <c r="O53" s="85"/>
      <c r="P53" s="85"/>
      <c r="Q53" s="86"/>
    </row>
    <row r="54" spans="1:17" ht="17.100000000000001" customHeight="1">
      <c r="A54" s="71" t="s">
        <v>28</v>
      </c>
      <c r="B54" s="71"/>
      <c r="C54" s="71"/>
      <c r="D54" s="71"/>
      <c r="E54" s="71"/>
      <c r="F54" s="92"/>
      <c r="G54" s="93"/>
      <c r="H54" s="93"/>
      <c r="I54" s="94"/>
      <c r="J54" s="84"/>
      <c r="K54" s="85"/>
      <c r="L54" s="85"/>
      <c r="M54" s="86"/>
      <c r="N54" s="84"/>
      <c r="O54" s="85"/>
      <c r="P54" s="85"/>
      <c r="Q54" s="86"/>
    </row>
    <row r="55" spans="1:17" ht="17.100000000000001" customHeight="1">
      <c r="A55" s="71" t="s">
        <v>29</v>
      </c>
      <c r="B55" s="71"/>
      <c r="C55" s="71"/>
      <c r="D55" s="71"/>
      <c r="E55" s="71"/>
      <c r="F55" s="92"/>
      <c r="G55" s="93"/>
      <c r="H55" s="93"/>
      <c r="I55" s="94"/>
      <c r="J55" s="84"/>
      <c r="K55" s="85"/>
      <c r="L55" s="85"/>
      <c r="M55" s="86"/>
      <c r="N55" s="84"/>
      <c r="O55" s="85"/>
      <c r="P55" s="85"/>
      <c r="Q55" s="86"/>
    </row>
    <row r="56" spans="1:17" ht="17.100000000000001" customHeight="1">
      <c r="A56" s="71" t="s">
        <v>29</v>
      </c>
      <c r="B56" s="71"/>
      <c r="C56" s="71"/>
      <c r="D56" s="71"/>
      <c r="E56" s="71"/>
      <c r="F56" s="92"/>
      <c r="G56" s="93"/>
      <c r="H56" s="93"/>
      <c r="I56" s="94"/>
      <c r="J56" s="84"/>
      <c r="K56" s="85"/>
      <c r="L56" s="85"/>
      <c r="M56" s="86"/>
      <c r="N56" s="84"/>
      <c r="O56" s="85"/>
      <c r="P56" s="85"/>
      <c r="Q56" s="86"/>
    </row>
    <row r="57" spans="1:17" ht="17.100000000000001" customHeight="1">
      <c r="A57" s="71" t="s">
        <v>30</v>
      </c>
      <c r="B57" s="71"/>
      <c r="C57" s="71"/>
      <c r="D57" s="71"/>
      <c r="E57" s="71"/>
      <c r="F57" s="92"/>
      <c r="G57" s="93"/>
      <c r="H57" s="93"/>
      <c r="I57" s="94"/>
      <c r="J57" s="84"/>
      <c r="K57" s="85"/>
      <c r="L57" s="85"/>
      <c r="M57" s="86"/>
      <c r="N57" s="84"/>
      <c r="O57" s="85"/>
      <c r="P57" s="85"/>
      <c r="Q57" s="86"/>
    </row>
    <row r="58" spans="1:17" ht="17.100000000000001" customHeight="1">
      <c r="A58" s="5" t="s">
        <v>31</v>
      </c>
      <c r="B58" s="6" t="s">
        <v>32</v>
      </c>
    </row>
    <row r="59" spans="1:17" ht="17.100000000000001" customHeight="1">
      <c r="A59" s="95" t="s">
        <v>33</v>
      </c>
      <c r="B59" s="96"/>
      <c r="C59" s="96"/>
      <c r="D59" s="96"/>
      <c r="E59" s="97"/>
      <c r="F59" s="98" t="s">
        <v>10</v>
      </c>
      <c r="G59" s="98"/>
      <c r="H59" s="98"/>
      <c r="I59" s="98" t="s">
        <v>11</v>
      </c>
      <c r="J59" s="98"/>
      <c r="K59" s="98"/>
      <c r="L59" s="98" t="s">
        <v>12</v>
      </c>
      <c r="M59" s="98"/>
      <c r="N59" s="98"/>
      <c r="O59" s="98" t="s">
        <v>13</v>
      </c>
      <c r="P59" s="98"/>
      <c r="Q59" s="98"/>
    </row>
    <row r="60" spans="1:17" ht="17.100000000000001" customHeight="1">
      <c r="A60" s="66">
        <v>1</v>
      </c>
      <c r="B60" s="67"/>
      <c r="C60" s="67"/>
      <c r="D60" s="67"/>
      <c r="E60" s="68"/>
      <c r="F60" s="73">
        <v>2</v>
      </c>
      <c r="G60" s="73"/>
      <c r="H60" s="73"/>
      <c r="I60" s="73">
        <v>3</v>
      </c>
      <c r="J60" s="73"/>
      <c r="K60" s="73"/>
      <c r="L60" s="73">
        <v>4</v>
      </c>
      <c r="M60" s="73"/>
      <c r="N60" s="73"/>
      <c r="O60" s="73">
        <v>5</v>
      </c>
      <c r="P60" s="73"/>
      <c r="Q60" s="73"/>
    </row>
    <row r="61" spans="1:17" ht="17.100000000000001" customHeight="1">
      <c r="A61" s="79" t="s">
        <v>34</v>
      </c>
      <c r="B61" s="79"/>
      <c r="C61" s="79"/>
      <c r="D61" s="79"/>
      <c r="E61" s="79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</row>
    <row r="62" spans="1:17" ht="17.100000000000001" customHeight="1">
      <c r="A62" s="91" t="s">
        <v>35</v>
      </c>
      <c r="B62" s="91"/>
      <c r="C62" s="91"/>
      <c r="D62" s="91"/>
      <c r="E62" s="91"/>
      <c r="F62" s="72">
        <f>Sheet2!D45</f>
        <v>0</v>
      </c>
      <c r="G62" s="72"/>
      <c r="H62" s="72"/>
      <c r="I62" s="72">
        <f>Sheet2!H45</f>
        <v>0</v>
      </c>
      <c r="J62" s="72"/>
      <c r="K62" s="72"/>
      <c r="L62" s="72">
        <f>Sheet2!L45</f>
        <v>0</v>
      </c>
      <c r="M62" s="72"/>
      <c r="N62" s="72"/>
      <c r="O62" s="72">
        <f>Sheet2!P45</f>
        <v>0</v>
      </c>
      <c r="P62" s="72"/>
      <c r="Q62" s="72"/>
    </row>
    <row r="63" spans="1:17" ht="17.100000000000001" customHeight="1">
      <c r="A63" s="91" t="s">
        <v>36</v>
      </c>
      <c r="B63" s="91"/>
      <c r="C63" s="91"/>
      <c r="D63" s="91"/>
      <c r="E63" s="91"/>
      <c r="F63" s="72">
        <f>Sheet2!D46</f>
        <v>0</v>
      </c>
      <c r="G63" s="72"/>
      <c r="H63" s="72"/>
      <c r="I63" s="72">
        <f>Sheet2!H46</f>
        <v>0</v>
      </c>
      <c r="J63" s="72"/>
      <c r="K63" s="72"/>
      <c r="L63" s="72">
        <f>Sheet2!L46</f>
        <v>0</v>
      </c>
      <c r="M63" s="72"/>
      <c r="N63" s="72"/>
      <c r="O63" s="72">
        <f>Sheet2!P46</f>
        <v>0</v>
      </c>
      <c r="P63" s="72"/>
      <c r="Q63" s="72"/>
    </row>
    <row r="64" spans="1:17" ht="17.100000000000001" customHeight="1">
      <c r="A64" s="91" t="s">
        <v>37</v>
      </c>
      <c r="B64" s="91"/>
      <c r="C64" s="91"/>
      <c r="D64" s="91"/>
      <c r="E64" s="91"/>
      <c r="F64" s="72">
        <f>Sheet2!D47</f>
        <v>0</v>
      </c>
      <c r="G64" s="72"/>
      <c r="H64" s="72"/>
      <c r="I64" s="72">
        <f>Sheet2!H47</f>
        <v>0</v>
      </c>
      <c r="J64" s="72"/>
      <c r="K64" s="72"/>
      <c r="L64" s="72">
        <f>Sheet2!L47</f>
        <v>0</v>
      </c>
      <c r="M64" s="72"/>
      <c r="N64" s="72"/>
      <c r="O64" s="72">
        <f>Sheet2!P47</f>
        <v>0</v>
      </c>
      <c r="P64" s="72"/>
      <c r="Q64" s="72"/>
    </row>
    <row r="65" spans="1:21" ht="17.100000000000001" customHeight="1">
      <c r="A65" s="91" t="s">
        <v>38</v>
      </c>
      <c r="B65" s="91"/>
      <c r="C65" s="91"/>
      <c r="D65" s="91"/>
      <c r="E65" s="91"/>
      <c r="F65" s="72">
        <f>Sheet2!D49</f>
        <v>0</v>
      </c>
      <c r="G65" s="72"/>
      <c r="H65" s="72"/>
      <c r="I65" s="72">
        <f>Sheet2!H49</f>
        <v>0</v>
      </c>
      <c r="J65" s="72"/>
      <c r="K65" s="72"/>
      <c r="L65" s="72">
        <f>Sheet2!L49</f>
        <v>0</v>
      </c>
      <c r="M65" s="72"/>
      <c r="N65" s="72"/>
      <c r="O65" s="72">
        <f>Sheet2!P49</f>
        <v>0</v>
      </c>
      <c r="P65" s="72"/>
      <c r="Q65" s="72"/>
    </row>
    <row r="66" spans="1:21" ht="17.100000000000001" customHeight="1">
      <c r="A66" s="91" t="s">
        <v>39</v>
      </c>
      <c r="B66" s="91"/>
      <c r="C66" s="91"/>
      <c r="D66" s="91"/>
      <c r="E66" s="91"/>
      <c r="F66" s="72">
        <f>Sheet2!D50+Sheet2!D55</f>
        <v>0</v>
      </c>
      <c r="G66" s="72"/>
      <c r="H66" s="72"/>
      <c r="I66" s="72">
        <f>Sheet2!H50+Sheet2!H55</f>
        <v>0</v>
      </c>
      <c r="J66" s="72"/>
      <c r="K66" s="72"/>
      <c r="L66" s="72">
        <f>Sheet2!L50+Sheet2!L55</f>
        <v>0</v>
      </c>
      <c r="M66" s="72"/>
      <c r="N66" s="72"/>
      <c r="O66" s="72">
        <f>Sheet2!P50+Sheet2!P55</f>
        <v>0</v>
      </c>
      <c r="P66" s="72"/>
      <c r="Q66" s="72"/>
    </row>
    <row r="67" spans="1:21" ht="17.100000000000001" customHeight="1">
      <c r="A67" s="66" t="s">
        <v>40</v>
      </c>
      <c r="B67" s="67"/>
      <c r="C67" s="67"/>
      <c r="D67" s="67"/>
      <c r="E67" s="68"/>
      <c r="F67" s="69">
        <f>+SUM(F62:H66)</f>
        <v>0</v>
      </c>
      <c r="G67" s="69"/>
      <c r="H67" s="69"/>
      <c r="I67" s="69">
        <f>+SUM(I62:K66)</f>
        <v>0</v>
      </c>
      <c r="J67" s="69"/>
      <c r="K67" s="69"/>
      <c r="L67" s="69">
        <f>+SUM(L62:N66)</f>
        <v>0</v>
      </c>
      <c r="M67" s="69"/>
      <c r="N67" s="69"/>
      <c r="O67" s="69">
        <f>+SUM(O62:Q66)</f>
        <v>0</v>
      </c>
      <c r="P67" s="69"/>
      <c r="Q67" s="69"/>
    </row>
    <row r="68" spans="1:21" ht="17.100000000000001" customHeight="1">
      <c r="A68" s="79" t="s">
        <v>41</v>
      </c>
      <c r="B68" s="79"/>
      <c r="C68" s="79"/>
      <c r="D68" s="79"/>
      <c r="E68" s="79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</row>
    <row r="69" spans="1:21" ht="17.100000000000001" customHeight="1">
      <c r="A69" s="90" t="s">
        <v>42</v>
      </c>
      <c r="B69" s="90"/>
      <c r="C69" s="90"/>
      <c r="D69" s="90"/>
      <c r="E69" s="90"/>
      <c r="F69" s="72">
        <f>Sheet2!D52+Sheet2!D56+Sheet2!D55</f>
        <v>0</v>
      </c>
      <c r="G69" s="72"/>
      <c r="H69" s="72"/>
      <c r="I69" s="72">
        <f>Sheet2!H52+Sheet2!H56+Sheet2!H55</f>
        <v>0</v>
      </c>
      <c r="J69" s="72"/>
      <c r="K69" s="72"/>
      <c r="L69" s="72">
        <f>Sheet2!L52+Sheet2!L56+Sheet2!L55</f>
        <v>0</v>
      </c>
      <c r="M69" s="72"/>
      <c r="N69" s="72"/>
      <c r="O69" s="72">
        <f>Sheet2!P52+Sheet2!P56+Sheet2!P55</f>
        <v>0</v>
      </c>
      <c r="P69" s="72"/>
      <c r="Q69" s="72"/>
    </row>
    <row r="70" spans="1:21" ht="17.100000000000001" customHeight="1">
      <c r="A70" s="90" t="s">
        <v>43</v>
      </c>
      <c r="B70" s="90"/>
      <c r="C70" s="90"/>
      <c r="D70" s="90"/>
      <c r="E70" s="90"/>
      <c r="F70" s="72">
        <f>Sheet2!D53</f>
        <v>0</v>
      </c>
      <c r="G70" s="72"/>
      <c r="H70" s="72"/>
      <c r="I70" s="72">
        <f>Sheet2!H53</f>
        <v>0</v>
      </c>
      <c r="J70" s="72"/>
      <c r="K70" s="72"/>
      <c r="L70" s="72">
        <f>Sheet2!L53</f>
        <v>0</v>
      </c>
      <c r="M70" s="72"/>
      <c r="N70" s="72"/>
      <c r="O70" s="72">
        <f>Sheet2!P53</f>
        <v>0</v>
      </c>
      <c r="P70" s="72"/>
      <c r="Q70" s="72"/>
      <c r="R70" s="43">
        <f>Sheet2!S53</f>
        <v>0</v>
      </c>
      <c r="S70" s="43">
        <f>Sheet2!T53</f>
        <v>0</v>
      </c>
      <c r="T70" s="43">
        <f>Sheet2!U53</f>
        <v>0</v>
      </c>
      <c r="U70" s="43">
        <f>Sheet2!V53</f>
        <v>0</v>
      </c>
    </row>
    <row r="71" spans="1:21" ht="17.100000000000001" customHeight="1">
      <c r="A71" s="73" t="s">
        <v>44</v>
      </c>
      <c r="B71" s="73"/>
      <c r="C71" s="73"/>
      <c r="D71" s="73"/>
      <c r="E71" s="73"/>
      <c r="F71" s="69">
        <f>+SUM(F69:H70)</f>
        <v>0</v>
      </c>
      <c r="G71" s="69"/>
      <c r="H71" s="69"/>
      <c r="I71" s="69">
        <f>+SUM(I69:K70)</f>
        <v>0</v>
      </c>
      <c r="J71" s="69"/>
      <c r="K71" s="69"/>
      <c r="L71" s="69">
        <f>+SUM(L69:N70)</f>
        <v>0</v>
      </c>
      <c r="M71" s="69"/>
      <c r="N71" s="69"/>
      <c r="O71" s="69">
        <f>+SUM(O69:Q70)</f>
        <v>0</v>
      </c>
      <c r="P71" s="69"/>
      <c r="Q71" s="69"/>
    </row>
    <row r="72" spans="1:21" ht="17.100000000000001" customHeight="1">
      <c r="A72" s="79" t="s">
        <v>45</v>
      </c>
      <c r="B72" s="79"/>
      <c r="C72" s="79"/>
      <c r="D72" s="79"/>
      <c r="E72" s="79"/>
      <c r="F72" s="69">
        <f>+F67-F71</f>
        <v>0</v>
      </c>
      <c r="G72" s="69"/>
      <c r="H72" s="69"/>
      <c r="I72" s="69">
        <f>+I67-I71</f>
        <v>0</v>
      </c>
      <c r="J72" s="69"/>
      <c r="K72" s="69"/>
      <c r="L72" s="69">
        <f>+L67-L71</f>
        <v>0</v>
      </c>
      <c r="M72" s="69"/>
      <c r="N72" s="69"/>
      <c r="O72" s="69">
        <f>+O67-O71</f>
        <v>0</v>
      </c>
      <c r="P72" s="69"/>
      <c r="Q72" s="69"/>
    </row>
    <row r="73" spans="1:21" ht="17.100000000000001" customHeight="1">
      <c r="A73" s="79" t="s">
        <v>46</v>
      </c>
      <c r="B73" s="79"/>
      <c r="C73" s="79"/>
      <c r="D73" s="79"/>
      <c r="E73" s="7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</row>
    <row r="74" spans="1:21" ht="30.4" customHeight="1">
      <c r="A74" s="90" t="s">
        <v>47</v>
      </c>
      <c r="B74" s="90"/>
      <c r="C74" s="90"/>
      <c r="D74" s="90"/>
      <c r="E74" s="90"/>
      <c r="F74" s="72">
        <v>0</v>
      </c>
      <c r="G74" s="72"/>
      <c r="H74" s="72"/>
      <c r="I74" s="72">
        <v>0</v>
      </c>
      <c r="J74" s="72"/>
      <c r="K74" s="72"/>
      <c r="L74" s="72">
        <v>0</v>
      </c>
      <c r="M74" s="72"/>
      <c r="N74" s="72"/>
      <c r="O74" s="72">
        <v>0</v>
      </c>
      <c r="P74" s="72"/>
      <c r="Q74" s="72"/>
    </row>
    <row r="75" spans="1:21" ht="30.4" customHeight="1">
      <c r="A75" s="90" t="s">
        <v>48</v>
      </c>
      <c r="B75" s="90"/>
      <c r="C75" s="90"/>
      <c r="D75" s="90"/>
      <c r="E75" s="90"/>
      <c r="F75" s="72">
        <v>0</v>
      </c>
      <c r="G75" s="72"/>
      <c r="H75" s="72"/>
      <c r="I75" s="72">
        <v>0</v>
      </c>
      <c r="J75" s="72"/>
      <c r="K75" s="72"/>
      <c r="L75" s="72">
        <v>0</v>
      </c>
      <c r="M75" s="72"/>
      <c r="N75" s="72"/>
      <c r="O75" s="72">
        <v>0</v>
      </c>
      <c r="P75" s="72"/>
      <c r="Q75" s="72"/>
    </row>
    <row r="76" spans="1:21" ht="17.100000000000001" customHeight="1">
      <c r="A76" s="73" t="s">
        <v>49</v>
      </c>
      <c r="B76" s="73"/>
      <c r="C76" s="73"/>
      <c r="D76" s="73"/>
      <c r="E76" s="73"/>
      <c r="F76" s="69">
        <f>+SUM(F74:H75)</f>
        <v>0</v>
      </c>
      <c r="G76" s="69"/>
      <c r="H76" s="69"/>
      <c r="I76" s="69">
        <f>+SUM(I74:K75)</f>
        <v>0</v>
      </c>
      <c r="J76" s="69"/>
      <c r="K76" s="69"/>
      <c r="L76" s="69">
        <f>+SUM(L74:N75)</f>
        <v>0</v>
      </c>
      <c r="M76" s="69"/>
      <c r="N76" s="69"/>
      <c r="O76" s="69">
        <f>+SUM(O74:Q75)</f>
        <v>0</v>
      </c>
      <c r="P76" s="69"/>
      <c r="Q76" s="69"/>
    </row>
    <row r="78" spans="1:21" ht="17.100000000000001" customHeight="1">
      <c r="A78" s="5" t="s">
        <v>50</v>
      </c>
      <c r="B78" s="6" t="s">
        <v>51</v>
      </c>
    </row>
    <row r="79" spans="1:21" ht="17.100000000000001" customHeight="1">
      <c r="A79" s="73" t="s">
        <v>8</v>
      </c>
      <c r="B79" s="73"/>
      <c r="C79" s="73"/>
      <c r="D79" s="73"/>
      <c r="E79" s="73"/>
      <c r="F79" s="73"/>
      <c r="G79" s="73"/>
      <c r="H79" s="73" t="s">
        <v>52</v>
      </c>
      <c r="I79" s="73"/>
      <c r="J79" s="73"/>
      <c r="K79" s="73"/>
      <c r="L79" s="73"/>
      <c r="M79" s="73" t="s">
        <v>53</v>
      </c>
      <c r="N79" s="73"/>
      <c r="O79" s="73"/>
      <c r="P79" s="73"/>
      <c r="Q79" s="73"/>
    </row>
    <row r="80" spans="1:21" ht="17.100000000000001" customHeight="1">
      <c r="A80" s="73">
        <v>1</v>
      </c>
      <c r="B80" s="73"/>
      <c r="C80" s="73"/>
      <c r="D80" s="73"/>
      <c r="E80" s="73"/>
      <c r="F80" s="73"/>
      <c r="G80" s="73"/>
      <c r="H80" s="73">
        <v>2</v>
      </c>
      <c r="I80" s="73"/>
      <c r="J80" s="73"/>
      <c r="K80" s="73"/>
      <c r="L80" s="73"/>
      <c r="M80" s="73">
        <v>3</v>
      </c>
      <c r="N80" s="73"/>
      <c r="O80" s="73"/>
      <c r="P80" s="73"/>
      <c r="Q80" s="73"/>
    </row>
    <row r="81" spans="1:17" ht="17.100000000000001" customHeight="1">
      <c r="A81" s="71" t="s">
        <v>54</v>
      </c>
      <c r="B81" s="71"/>
      <c r="C81" s="71"/>
      <c r="D81" s="71"/>
      <c r="E81" s="71"/>
      <c r="F81" s="71"/>
      <c r="G81" s="71"/>
      <c r="H81" s="72">
        <f>Sheet2!E63</f>
        <v>0</v>
      </c>
      <c r="I81" s="72"/>
      <c r="J81" s="72"/>
      <c r="K81" s="72"/>
      <c r="L81" s="72"/>
      <c r="M81" s="72">
        <f>Sheet2!L63</f>
        <v>0</v>
      </c>
      <c r="N81" s="72"/>
      <c r="O81" s="72"/>
      <c r="P81" s="72"/>
      <c r="Q81" s="72"/>
    </row>
    <row r="82" spans="1:17" ht="17.100000000000001" customHeight="1">
      <c r="A82" s="71" t="s">
        <v>55</v>
      </c>
      <c r="B82" s="71"/>
      <c r="C82" s="71"/>
      <c r="D82" s="71"/>
      <c r="E82" s="71"/>
      <c r="F82" s="71"/>
      <c r="G82" s="71"/>
      <c r="H82" s="72">
        <f>Sheet2!E64</f>
        <v>0</v>
      </c>
      <c r="I82" s="72"/>
      <c r="J82" s="72"/>
      <c r="K82" s="72"/>
      <c r="L82" s="72"/>
      <c r="M82" s="72">
        <f>Sheet2!L64</f>
        <v>0</v>
      </c>
      <c r="N82" s="72"/>
      <c r="O82" s="72"/>
      <c r="P82" s="72"/>
      <c r="Q82" s="72"/>
    </row>
    <row r="84" spans="1:17" ht="17.100000000000001" customHeight="1">
      <c r="A84" s="87" t="s">
        <v>26</v>
      </c>
      <c r="B84" s="88"/>
      <c r="C84" s="88"/>
      <c r="D84" s="88"/>
      <c r="E84" s="89"/>
      <c r="F84" s="66" t="s">
        <v>10</v>
      </c>
      <c r="G84" s="67"/>
      <c r="H84" s="68"/>
      <c r="I84" s="66" t="s">
        <v>11</v>
      </c>
      <c r="J84" s="67"/>
      <c r="K84" s="68"/>
      <c r="L84" s="66" t="s">
        <v>12</v>
      </c>
      <c r="M84" s="67"/>
      <c r="N84" s="68"/>
      <c r="O84" s="66" t="s">
        <v>13</v>
      </c>
      <c r="P84" s="67"/>
      <c r="Q84" s="68"/>
    </row>
    <row r="85" spans="1:17" ht="17.100000000000001" customHeight="1">
      <c r="A85" s="81" t="s">
        <v>56</v>
      </c>
      <c r="B85" s="82"/>
      <c r="C85" s="82"/>
      <c r="D85" s="82"/>
      <c r="E85" s="83"/>
      <c r="F85" s="84">
        <f>Sheet2!D40</f>
        <v>0</v>
      </c>
      <c r="G85" s="85"/>
      <c r="H85" s="86"/>
      <c r="I85" s="84">
        <f>Sheet2!H40</f>
        <v>0</v>
      </c>
      <c r="J85" s="85"/>
      <c r="K85" s="86"/>
      <c r="L85" s="84">
        <f>Sheet2!L40</f>
        <v>0</v>
      </c>
      <c r="M85" s="85"/>
      <c r="N85" s="86"/>
      <c r="O85" s="84">
        <f>Sheet2!P40</f>
        <v>0</v>
      </c>
      <c r="P85" s="85"/>
      <c r="Q85" s="86"/>
    </row>
    <row r="87" spans="1:17" ht="17.100000000000001" customHeight="1">
      <c r="A87" s="5" t="s">
        <v>57</v>
      </c>
      <c r="B87" s="6" t="s">
        <v>58</v>
      </c>
    </row>
    <row r="88" spans="1:17" ht="17.100000000000001" customHeight="1">
      <c r="A88" s="73" t="s">
        <v>59</v>
      </c>
      <c r="B88" s="73"/>
      <c r="C88" s="73"/>
      <c r="D88" s="73"/>
      <c r="E88" s="73"/>
      <c r="F88" s="73" t="s">
        <v>60</v>
      </c>
      <c r="G88" s="73"/>
      <c r="H88" s="73" t="s">
        <v>61</v>
      </c>
      <c r="I88" s="73"/>
      <c r="J88" s="73"/>
      <c r="K88" s="73"/>
      <c r="L88" s="73"/>
      <c r="M88" s="73"/>
      <c r="N88" s="73"/>
      <c r="O88" s="73"/>
      <c r="P88" s="80" t="s">
        <v>62</v>
      </c>
      <c r="Q88" s="80"/>
    </row>
    <row r="89" spans="1:17" ht="30.4" customHeight="1">
      <c r="A89" s="73"/>
      <c r="B89" s="73"/>
      <c r="C89" s="73"/>
      <c r="D89" s="73"/>
      <c r="E89" s="73"/>
      <c r="F89" s="73"/>
      <c r="G89" s="73"/>
      <c r="H89" s="80" t="s">
        <v>10</v>
      </c>
      <c r="I89" s="80"/>
      <c r="J89" s="73" t="s">
        <v>11</v>
      </c>
      <c r="K89" s="73"/>
      <c r="L89" s="80" t="s">
        <v>12</v>
      </c>
      <c r="M89" s="80"/>
      <c r="N89" s="73" t="s">
        <v>13</v>
      </c>
      <c r="O89" s="73"/>
      <c r="P89" s="80"/>
      <c r="Q89" s="80"/>
    </row>
    <row r="90" spans="1:17" ht="17.100000000000001" customHeight="1">
      <c r="A90" s="73">
        <v>1</v>
      </c>
      <c r="B90" s="73"/>
      <c r="C90" s="73"/>
      <c r="D90" s="73"/>
      <c r="E90" s="73"/>
      <c r="F90" s="73">
        <v>2</v>
      </c>
      <c r="G90" s="73"/>
      <c r="H90" s="80">
        <v>3</v>
      </c>
      <c r="I90" s="80"/>
      <c r="J90" s="73">
        <v>4</v>
      </c>
      <c r="K90" s="73"/>
      <c r="L90" s="80">
        <v>5</v>
      </c>
      <c r="M90" s="80"/>
      <c r="N90" s="73">
        <v>6</v>
      </c>
      <c r="O90" s="73"/>
      <c r="P90" s="73">
        <v>7</v>
      </c>
      <c r="Q90" s="73"/>
    </row>
    <row r="91" spans="1:17" ht="17.100000000000001" customHeight="1">
      <c r="A91" s="79" t="s">
        <v>63</v>
      </c>
      <c r="B91" s="79"/>
      <c r="C91" s="79"/>
      <c r="D91" s="79"/>
      <c r="E91" s="79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</row>
    <row r="92" spans="1:17" ht="17.100000000000001" customHeight="1">
      <c r="A92" s="71" t="s">
        <v>10</v>
      </c>
      <c r="B92" s="71"/>
      <c r="C92" s="71"/>
      <c r="D92" s="71"/>
      <c r="E92" s="71"/>
      <c r="F92" s="77">
        <f>Sheet2!D71</f>
        <v>0</v>
      </c>
      <c r="G92" s="77"/>
      <c r="H92" s="77">
        <f>Sheet2!F71</f>
        <v>0</v>
      </c>
      <c r="I92" s="77"/>
      <c r="J92" s="77">
        <f>Sheet2!H71</f>
        <v>0</v>
      </c>
      <c r="K92" s="77"/>
      <c r="L92" s="77">
        <f>Sheet2!J71</f>
        <v>0</v>
      </c>
      <c r="M92" s="77"/>
      <c r="N92" s="77">
        <f>Sheet2!L71</f>
        <v>0</v>
      </c>
      <c r="O92" s="77"/>
      <c r="P92" s="77">
        <f>+F92-H92-J92-L92</f>
        <v>0</v>
      </c>
      <c r="Q92" s="77"/>
    </row>
    <row r="93" spans="1:17" ht="17.100000000000001" customHeight="1">
      <c r="A93" s="71" t="s">
        <v>11</v>
      </c>
      <c r="B93" s="71"/>
      <c r="C93" s="71"/>
      <c r="D93" s="71"/>
      <c r="E93" s="71"/>
      <c r="F93" s="77">
        <f>Sheet2!D72</f>
        <v>0</v>
      </c>
      <c r="G93" s="77"/>
      <c r="H93" s="77">
        <f>Sheet2!F72</f>
        <v>0</v>
      </c>
      <c r="I93" s="77"/>
      <c r="J93" s="77">
        <f>Sheet2!H72</f>
        <v>0</v>
      </c>
      <c r="K93" s="77"/>
      <c r="L93" s="77">
        <f>Sheet2!J72</f>
        <v>0</v>
      </c>
      <c r="M93" s="77"/>
      <c r="N93" s="77">
        <f>Sheet2!L72</f>
        <v>0</v>
      </c>
      <c r="O93" s="77"/>
      <c r="P93" s="77">
        <f>+F93-H93-J93</f>
        <v>0</v>
      </c>
      <c r="Q93" s="77"/>
    </row>
    <row r="94" spans="1:17" ht="17.100000000000001" customHeight="1">
      <c r="A94" s="71" t="s">
        <v>12</v>
      </c>
      <c r="B94" s="71"/>
      <c r="C94" s="71"/>
      <c r="D94" s="71"/>
      <c r="E94" s="71"/>
      <c r="F94" s="77">
        <f>Sheet2!D73</f>
        <v>0</v>
      </c>
      <c r="G94" s="77"/>
      <c r="H94" s="77">
        <f>Sheet2!F73</f>
        <v>0</v>
      </c>
      <c r="I94" s="77"/>
      <c r="J94" s="77">
        <f>Sheet2!H73</f>
        <v>0</v>
      </c>
      <c r="K94" s="77"/>
      <c r="L94" s="77">
        <f>Sheet2!J73</f>
        <v>0</v>
      </c>
      <c r="M94" s="77"/>
      <c r="N94" s="77">
        <f>Sheet2!L73</f>
        <v>0</v>
      </c>
      <c r="O94" s="77"/>
      <c r="P94" s="77">
        <f>+F94-H94-L94</f>
        <v>0</v>
      </c>
      <c r="Q94" s="77"/>
    </row>
    <row r="95" spans="1:17" ht="17.100000000000001" customHeight="1">
      <c r="A95" s="71" t="s">
        <v>13</v>
      </c>
      <c r="B95" s="71"/>
      <c r="C95" s="71"/>
      <c r="D95" s="71"/>
      <c r="E95" s="71"/>
      <c r="F95" s="77">
        <f>Sheet2!D74</f>
        <v>0</v>
      </c>
      <c r="G95" s="77"/>
      <c r="H95" s="77">
        <f>Sheet2!F74</f>
        <v>0</v>
      </c>
      <c r="I95" s="77"/>
      <c r="J95" s="77">
        <f>Sheet2!H74</f>
        <v>0</v>
      </c>
      <c r="K95" s="77"/>
      <c r="L95" s="77">
        <f>Sheet2!J74</f>
        <v>0</v>
      </c>
      <c r="M95" s="77"/>
      <c r="N95" s="77">
        <f>Sheet2!L74</f>
        <v>0</v>
      </c>
      <c r="O95" s="77"/>
      <c r="P95" s="77">
        <f>+F95-N95</f>
        <v>0</v>
      </c>
      <c r="Q95" s="77"/>
    </row>
    <row r="96" spans="1:17" ht="17.100000000000001" customHeight="1">
      <c r="A96" s="66" t="s">
        <v>19</v>
      </c>
      <c r="B96" s="67"/>
      <c r="C96" s="67"/>
      <c r="D96" s="67"/>
      <c r="E96" s="68"/>
      <c r="F96" s="74">
        <f>+SUM(F92:G95)</f>
        <v>0</v>
      </c>
      <c r="G96" s="74"/>
      <c r="H96" s="74">
        <f>+SUM(H92:I94)</f>
        <v>0</v>
      </c>
      <c r="I96" s="74"/>
      <c r="J96" s="74">
        <f>+SUM(J92:K93)</f>
        <v>0</v>
      </c>
      <c r="K96" s="74"/>
      <c r="L96" s="74">
        <f>+SUM(L94,L92)</f>
        <v>0</v>
      </c>
      <c r="M96" s="74"/>
      <c r="N96" s="74">
        <f>+N95</f>
        <v>0</v>
      </c>
      <c r="O96" s="74"/>
      <c r="P96" s="74">
        <f>+SUM(P92:Q95)</f>
        <v>0</v>
      </c>
      <c r="Q96" s="74"/>
    </row>
    <row r="97" spans="1:17" ht="17.100000000000001" customHeight="1">
      <c r="A97" s="79" t="s">
        <v>64</v>
      </c>
      <c r="B97" s="79"/>
      <c r="C97" s="79"/>
      <c r="D97" s="79"/>
      <c r="E97" s="79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</row>
    <row r="98" spans="1:17" ht="17.100000000000001" customHeight="1">
      <c r="A98" s="71" t="s">
        <v>10</v>
      </c>
      <c r="B98" s="71"/>
      <c r="C98" s="71"/>
      <c r="D98" s="71"/>
      <c r="E98" s="71"/>
      <c r="F98" s="77">
        <f>Sheet2!D75</f>
        <v>0</v>
      </c>
      <c r="G98" s="77"/>
      <c r="H98" s="77">
        <f>Sheet2!F75</f>
        <v>0</v>
      </c>
      <c r="I98" s="77"/>
      <c r="J98" s="77">
        <f>Sheet2!H75</f>
        <v>0</v>
      </c>
      <c r="K98" s="77"/>
      <c r="L98" s="77">
        <f>Sheet2!J75</f>
        <v>0</v>
      </c>
      <c r="M98" s="77"/>
      <c r="N98" s="77">
        <f>Sheet2!L75</f>
        <v>0</v>
      </c>
      <c r="O98" s="77"/>
      <c r="P98" s="77">
        <f>+F98</f>
        <v>0</v>
      </c>
      <c r="Q98" s="77"/>
    </row>
    <row r="99" spans="1:17" ht="17.100000000000001" customHeight="1">
      <c r="A99" s="71" t="s">
        <v>11</v>
      </c>
      <c r="B99" s="71"/>
      <c r="C99" s="71"/>
      <c r="D99" s="71"/>
      <c r="E99" s="71"/>
      <c r="F99" s="77">
        <f>Sheet2!D76</f>
        <v>0</v>
      </c>
      <c r="G99" s="77"/>
      <c r="H99" s="77">
        <f>Sheet2!F76</f>
        <v>0</v>
      </c>
      <c r="I99" s="77"/>
      <c r="J99" s="77">
        <f>Sheet2!H76</f>
        <v>0</v>
      </c>
      <c r="K99" s="77"/>
      <c r="L99" s="77">
        <f>Sheet2!J76</f>
        <v>0</v>
      </c>
      <c r="M99" s="77"/>
      <c r="N99" s="77">
        <f>Sheet2!L76</f>
        <v>0</v>
      </c>
      <c r="O99" s="77"/>
      <c r="P99" s="77">
        <f>+F99</f>
        <v>0</v>
      </c>
      <c r="Q99" s="77"/>
    </row>
    <row r="100" spans="1:17" ht="17.100000000000001" customHeight="1">
      <c r="A100" s="71" t="s">
        <v>12</v>
      </c>
      <c r="B100" s="71"/>
      <c r="C100" s="71"/>
      <c r="D100" s="71"/>
      <c r="E100" s="71"/>
      <c r="F100" s="77">
        <f>Sheet2!D77</f>
        <v>0</v>
      </c>
      <c r="G100" s="77"/>
      <c r="H100" s="77">
        <f>Sheet2!F77</f>
        <v>0</v>
      </c>
      <c r="I100" s="77"/>
      <c r="J100" s="77">
        <f>Sheet2!H77</f>
        <v>0</v>
      </c>
      <c r="K100" s="77"/>
      <c r="L100" s="77">
        <f>Sheet2!J77</f>
        <v>0</v>
      </c>
      <c r="M100" s="77"/>
      <c r="N100" s="77">
        <f>Sheet2!L77</f>
        <v>0</v>
      </c>
      <c r="O100" s="77"/>
      <c r="P100" s="77">
        <f>+F100</f>
        <v>0</v>
      </c>
      <c r="Q100" s="77"/>
    </row>
    <row r="101" spans="1:17" ht="17.100000000000001" customHeight="1">
      <c r="A101" s="71" t="s">
        <v>13</v>
      </c>
      <c r="B101" s="71"/>
      <c r="C101" s="71"/>
      <c r="D101" s="71"/>
      <c r="E101" s="71"/>
      <c r="F101" s="77"/>
      <c r="G101" s="77"/>
      <c r="H101" s="78"/>
      <c r="I101" s="78"/>
      <c r="J101" s="78"/>
      <c r="K101" s="78"/>
      <c r="L101" s="77"/>
      <c r="M101" s="77"/>
      <c r="N101" s="78"/>
      <c r="O101" s="78"/>
      <c r="P101" s="77">
        <f>+F101</f>
        <v>0</v>
      </c>
      <c r="Q101" s="77"/>
    </row>
    <row r="102" spans="1:17" ht="17.100000000000001" customHeight="1">
      <c r="A102" s="66" t="s">
        <v>65</v>
      </c>
      <c r="B102" s="67"/>
      <c r="C102" s="67"/>
      <c r="D102" s="67"/>
      <c r="E102" s="68"/>
      <c r="F102" s="74">
        <f>SUM(F98:G101)</f>
        <v>0</v>
      </c>
      <c r="G102" s="74"/>
      <c r="H102" s="75">
        <v>0</v>
      </c>
      <c r="I102" s="76"/>
      <c r="J102" s="75">
        <v>0</v>
      </c>
      <c r="K102" s="76"/>
      <c r="L102" s="75">
        <v>0</v>
      </c>
      <c r="M102" s="76"/>
      <c r="N102" s="75">
        <v>0</v>
      </c>
      <c r="O102" s="76"/>
      <c r="P102" s="74">
        <f>SUM(P98:Q101)</f>
        <v>0</v>
      </c>
      <c r="Q102" s="74"/>
    </row>
    <row r="103" spans="1:17" ht="17.100000000000001" customHeight="1">
      <c r="A103" s="66" t="s">
        <v>66</v>
      </c>
      <c r="B103" s="67"/>
      <c r="C103" s="67"/>
      <c r="D103" s="67"/>
      <c r="E103" s="68"/>
      <c r="F103" s="75">
        <f>+F102+F96</f>
        <v>0</v>
      </c>
      <c r="G103" s="76"/>
      <c r="H103" s="75">
        <f>+H102+H96</f>
        <v>0</v>
      </c>
      <c r="I103" s="76"/>
      <c r="J103" s="75">
        <f>+J102+J96</f>
        <v>0</v>
      </c>
      <c r="K103" s="76"/>
      <c r="L103" s="75">
        <f>+L102+L96</f>
        <v>0</v>
      </c>
      <c r="M103" s="76"/>
      <c r="N103" s="75">
        <f>+N102+N96</f>
        <v>0</v>
      </c>
      <c r="O103" s="76"/>
      <c r="P103" s="75">
        <f>+P102+P96</f>
        <v>0</v>
      </c>
      <c r="Q103" s="76"/>
    </row>
    <row r="105" spans="1:17" ht="17.100000000000001" customHeight="1">
      <c r="A105" s="5" t="s">
        <v>67</v>
      </c>
      <c r="B105" s="6" t="s">
        <v>68</v>
      </c>
    </row>
    <row r="106" spans="1:17" ht="17.100000000000001" customHeight="1">
      <c r="A106" s="73" t="s">
        <v>33</v>
      </c>
      <c r="B106" s="73"/>
      <c r="C106" s="73"/>
      <c r="D106" s="73"/>
      <c r="E106" s="73"/>
      <c r="F106" s="73" t="s">
        <v>10</v>
      </c>
      <c r="G106" s="73"/>
      <c r="H106" s="73"/>
      <c r="I106" s="73"/>
      <c r="J106" s="73" t="s">
        <v>11</v>
      </c>
      <c r="K106" s="73"/>
      <c r="L106" s="73"/>
      <c r="M106" s="73"/>
      <c r="N106" s="73" t="s">
        <v>12</v>
      </c>
      <c r="O106" s="73"/>
      <c r="P106" s="73"/>
      <c r="Q106" s="73"/>
    </row>
    <row r="107" spans="1:17" ht="17.100000000000001" customHeight="1">
      <c r="A107" s="73">
        <v>1</v>
      </c>
      <c r="B107" s="73"/>
      <c r="C107" s="73"/>
      <c r="D107" s="73"/>
      <c r="E107" s="73"/>
      <c r="F107" s="73">
        <v>2</v>
      </c>
      <c r="G107" s="73"/>
      <c r="H107" s="73"/>
      <c r="I107" s="73"/>
      <c r="J107" s="73">
        <v>3</v>
      </c>
      <c r="K107" s="73"/>
      <c r="L107" s="73"/>
      <c r="M107" s="73"/>
      <c r="N107" s="73">
        <v>4</v>
      </c>
      <c r="O107" s="73"/>
      <c r="P107" s="73"/>
      <c r="Q107" s="73"/>
    </row>
    <row r="108" spans="1:17" ht="17.100000000000001" customHeight="1">
      <c r="A108" s="71" t="s">
        <v>69</v>
      </c>
      <c r="B108" s="71"/>
      <c r="C108" s="71"/>
      <c r="D108" s="71"/>
      <c r="E108" s="71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</row>
    <row r="109" spans="1:17" ht="17.100000000000001" customHeight="1">
      <c r="A109" s="71" t="s">
        <v>70</v>
      </c>
      <c r="B109" s="71"/>
      <c r="C109" s="71"/>
      <c r="D109" s="71"/>
      <c r="E109" s="71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</row>
    <row r="110" spans="1:17" ht="17.100000000000001" customHeight="1">
      <c r="A110" s="66" t="s">
        <v>19</v>
      </c>
      <c r="B110" s="67"/>
      <c r="C110" s="67"/>
      <c r="D110" s="67"/>
      <c r="E110" s="68"/>
      <c r="F110" s="69">
        <f>+SUM(F108:I109)</f>
        <v>0</v>
      </c>
      <c r="G110" s="69"/>
      <c r="H110" s="69"/>
      <c r="I110" s="69"/>
      <c r="J110" s="69">
        <f>+SUM(J108:M109)</f>
        <v>0</v>
      </c>
      <c r="K110" s="69"/>
      <c r="L110" s="69"/>
      <c r="M110" s="69"/>
      <c r="N110" s="69">
        <f>+SUM(N108:Q109)</f>
        <v>0</v>
      </c>
      <c r="O110" s="69"/>
      <c r="P110" s="69"/>
      <c r="Q110" s="69"/>
    </row>
    <row r="111" spans="1:17" ht="17.100000000000001" customHeight="1">
      <c r="A111" s="70" t="s">
        <v>71</v>
      </c>
      <c r="B111" s="70"/>
      <c r="C111" s="70"/>
      <c r="D111" s="70"/>
      <c r="E111" s="7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ht="17.100000000000001" customHeight="1">
      <c r="B112" s="1" t="str">
        <f>Sheet2!C81</f>
        <v>Integrated Tax</v>
      </c>
      <c r="C112" s="63">
        <f>Sheet2!D81</f>
        <v>0</v>
      </c>
      <c r="D112" s="64"/>
      <c r="E112" s="6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ht="17.100000000000001" customHeight="1">
      <c r="B113" s="1" t="str">
        <f>Sheet2!C82</f>
        <v>Central Tax</v>
      </c>
      <c r="C113" s="63">
        <f>Sheet2!D82</f>
        <v>0</v>
      </c>
      <c r="D113" s="64"/>
      <c r="E113" s="6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ht="17.100000000000001" customHeight="1">
      <c r="B114" s="1" t="str">
        <f>Sheet2!C83</f>
        <v>State/UT Tax</v>
      </c>
      <c r="C114" s="63">
        <f>Sheet2!D83</f>
        <v>0</v>
      </c>
      <c r="D114" s="64"/>
      <c r="E114" s="6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ht="17.100000000000001" customHeight="1">
      <c r="B115" s="1" t="str">
        <f>Sheet2!C84</f>
        <v>Cess</v>
      </c>
      <c r="C115" s="63">
        <f>Sheet2!D84</f>
        <v>0</v>
      </c>
      <c r="D115" s="64"/>
      <c r="E115" s="6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7" spans="1:17" ht="17.100000000000001" customHeight="1">
      <c r="A117" s="1" t="s">
        <v>72</v>
      </c>
    </row>
    <row r="118" spans="1:17" ht="30.4" customHeight="1">
      <c r="A118" s="65" t="s">
        <v>73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</row>
    <row r="119" spans="1:17" ht="7.15" customHeight="1"/>
    <row r="120" spans="1:17" ht="17.100000000000001" customHeight="1">
      <c r="A120" s="1" t="s">
        <v>74</v>
      </c>
    </row>
    <row r="121" spans="1:17" ht="30.4" customHeight="1">
      <c r="A121" s="65" t="s">
        <v>75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</row>
    <row r="122" spans="1:17" ht="17.100000000000001" customHeight="1">
      <c r="A122" s="61" t="s">
        <v>76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</row>
    <row r="123" spans="1:17" ht="17.100000000000001" customHeight="1">
      <c r="A123" s="61" t="s">
        <v>77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</row>
    <row r="124" spans="1:17" ht="30.4" customHeight="1">
      <c r="A124" s="62" t="s">
        <v>78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spans="1:17" ht="32.65" customHeight="1">
      <c r="A125" s="62" t="s">
        <v>79</v>
      </c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</row>
  </sheetData>
  <mergeCells count="461">
    <mergeCell ref="A1:Q1"/>
    <mergeCell ref="M2:N2"/>
    <mergeCell ref="O2:Q2"/>
    <mergeCell ref="M3:N3"/>
    <mergeCell ref="O3:Q3"/>
    <mergeCell ref="C6:Q6"/>
    <mergeCell ref="A10:B10"/>
    <mergeCell ref="C10:E10"/>
    <mergeCell ref="F10:H10"/>
    <mergeCell ref="I10:K10"/>
    <mergeCell ref="L10:N10"/>
    <mergeCell ref="O10:Q10"/>
    <mergeCell ref="A9:B9"/>
    <mergeCell ref="C9:E9"/>
    <mergeCell ref="F9:H9"/>
    <mergeCell ref="I9:K9"/>
    <mergeCell ref="L9:N9"/>
    <mergeCell ref="O9:Q9"/>
    <mergeCell ref="A12:B12"/>
    <mergeCell ref="C12:E12"/>
    <mergeCell ref="F12:H12"/>
    <mergeCell ref="I12:K12"/>
    <mergeCell ref="L12:N12"/>
    <mergeCell ref="O12:Q12"/>
    <mergeCell ref="A11:B11"/>
    <mergeCell ref="C11:E11"/>
    <mergeCell ref="F11:H11"/>
    <mergeCell ref="I11:K11"/>
    <mergeCell ref="L11:N11"/>
    <mergeCell ref="O11:Q11"/>
    <mergeCell ref="A14:B14"/>
    <mergeCell ref="C14:E14"/>
    <mergeCell ref="F14:H14"/>
    <mergeCell ref="I14:K14"/>
    <mergeCell ref="L14:N14"/>
    <mergeCell ref="O14:Q14"/>
    <mergeCell ref="A13:B13"/>
    <mergeCell ref="C13:E13"/>
    <mergeCell ref="F13:H13"/>
    <mergeCell ref="I13:K13"/>
    <mergeCell ref="L13:N13"/>
    <mergeCell ref="O13:Q13"/>
    <mergeCell ref="A16:B16"/>
    <mergeCell ref="C16:E16"/>
    <mergeCell ref="F16:H16"/>
    <mergeCell ref="I16:K16"/>
    <mergeCell ref="L16:N16"/>
    <mergeCell ref="O16:Q16"/>
    <mergeCell ref="A15:B15"/>
    <mergeCell ref="C15:E15"/>
    <mergeCell ref="F15:H15"/>
    <mergeCell ref="I15:K15"/>
    <mergeCell ref="L15:N15"/>
    <mergeCell ref="O15:Q15"/>
    <mergeCell ref="A20:B20"/>
    <mergeCell ref="C20:E20"/>
    <mergeCell ref="F20:H20"/>
    <mergeCell ref="I20:K20"/>
    <mergeCell ref="L20:N20"/>
    <mergeCell ref="O20:Q20"/>
    <mergeCell ref="B18:Q18"/>
    <mergeCell ref="A19:B19"/>
    <mergeCell ref="C19:E19"/>
    <mergeCell ref="F19:H19"/>
    <mergeCell ref="I19:K19"/>
    <mergeCell ref="L19:N19"/>
    <mergeCell ref="O19:Q19"/>
    <mergeCell ref="A22:B22"/>
    <mergeCell ref="C22:E22"/>
    <mergeCell ref="F22:H22"/>
    <mergeCell ref="I22:K22"/>
    <mergeCell ref="L22:N22"/>
    <mergeCell ref="O22:Q22"/>
    <mergeCell ref="A21:B21"/>
    <mergeCell ref="C21:E21"/>
    <mergeCell ref="F21:H21"/>
    <mergeCell ref="I21:K21"/>
    <mergeCell ref="L21:N21"/>
    <mergeCell ref="O21:Q21"/>
    <mergeCell ref="A27:E27"/>
    <mergeCell ref="F27:I27"/>
    <mergeCell ref="J27:M27"/>
    <mergeCell ref="N27:Q27"/>
    <mergeCell ref="A28:E28"/>
    <mergeCell ref="F28:I28"/>
    <mergeCell ref="J28:M28"/>
    <mergeCell ref="N28:Q28"/>
    <mergeCell ref="B24:Q24"/>
    <mergeCell ref="A25:E25"/>
    <mergeCell ref="F25:I25"/>
    <mergeCell ref="J25:M25"/>
    <mergeCell ref="N25:Q25"/>
    <mergeCell ref="A26:E26"/>
    <mergeCell ref="F26:I26"/>
    <mergeCell ref="J26:M26"/>
    <mergeCell ref="N26:Q26"/>
    <mergeCell ref="A31:E31"/>
    <mergeCell ref="F31:I31"/>
    <mergeCell ref="J31:M31"/>
    <mergeCell ref="N31:Q31"/>
    <mergeCell ref="A32:E32"/>
    <mergeCell ref="F32:I32"/>
    <mergeCell ref="J32:M32"/>
    <mergeCell ref="N32:Q32"/>
    <mergeCell ref="A29:E29"/>
    <mergeCell ref="F29:I29"/>
    <mergeCell ref="J29:M29"/>
    <mergeCell ref="N29:Q29"/>
    <mergeCell ref="A30:E30"/>
    <mergeCell ref="F30:I30"/>
    <mergeCell ref="J30:M30"/>
    <mergeCell ref="N30:Q30"/>
    <mergeCell ref="A35:E35"/>
    <mergeCell ref="F35:I35"/>
    <mergeCell ref="J35:M35"/>
    <mergeCell ref="N35:Q35"/>
    <mergeCell ref="A36:E36"/>
    <mergeCell ref="F36:I36"/>
    <mergeCell ref="J36:M36"/>
    <mergeCell ref="N36:Q36"/>
    <mergeCell ref="A33:E33"/>
    <mergeCell ref="F33:I33"/>
    <mergeCell ref="J33:M33"/>
    <mergeCell ref="N33:Q33"/>
    <mergeCell ref="A34:E34"/>
    <mergeCell ref="F34:I34"/>
    <mergeCell ref="J34:M34"/>
    <mergeCell ref="N34:Q34"/>
    <mergeCell ref="A39:E39"/>
    <mergeCell ref="F39:I39"/>
    <mergeCell ref="J39:M39"/>
    <mergeCell ref="N39:Q39"/>
    <mergeCell ref="A40:E40"/>
    <mergeCell ref="F40:I40"/>
    <mergeCell ref="J40:M40"/>
    <mergeCell ref="N40:Q40"/>
    <mergeCell ref="A37:E37"/>
    <mergeCell ref="F37:I37"/>
    <mergeCell ref="J37:M37"/>
    <mergeCell ref="N37:Q37"/>
    <mergeCell ref="A38:E38"/>
    <mergeCell ref="F38:I38"/>
    <mergeCell ref="J38:M38"/>
    <mergeCell ref="N38:Q38"/>
    <mergeCell ref="A43:E43"/>
    <mergeCell ref="F43:I43"/>
    <mergeCell ref="J43:M43"/>
    <mergeCell ref="N43:Q43"/>
    <mergeCell ref="A44:E44"/>
    <mergeCell ref="F44:I44"/>
    <mergeCell ref="J44:M44"/>
    <mergeCell ref="N44:Q44"/>
    <mergeCell ref="A41:E41"/>
    <mergeCell ref="F41:I41"/>
    <mergeCell ref="J41:M41"/>
    <mergeCell ref="N41:Q41"/>
    <mergeCell ref="A42:E42"/>
    <mergeCell ref="F42:I42"/>
    <mergeCell ref="J42:M42"/>
    <mergeCell ref="N42:Q42"/>
    <mergeCell ref="A47:E47"/>
    <mergeCell ref="F47:I47"/>
    <mergeCell ref="J47:M47"/>
    <mergeCell ref="N47:Q47"/>
    <mergeCell ref="A48:E48"/>
    <mergeCell ref="F48:I48"/>
    <mergeCell ref="J48:M48"/>
    <mergeCell ref="N48:Q48"/>
    <mergeCell ref="A45:E45"/>
    <mergeCell ref="F45:I45"/>
    <mergeCell ref="J45:M45"/>
    <mergeCell ref="N45:Q45"/>
    <mergeCell ref="A46:E46"/>
    <mergeCell ref="F46:I46"/>
    <mergeCell ref="J46:M46"/>
    <mergeCell ref="N46:Q46"/>
    <mergeCell ref="A51:E51"/>
    <mergeCell ref="F51:I51"/>
    <mergeCell ref="J51:M51"/>
    <mergeCell ref="N51:Q51"/>
    <mergeCell ref="A52:E52"/>
    <mergeCell ref="F52:I52"/>
    <mergeCell ref="J52:M52"/>
    <mergeCell ref="N52:Q52"/>
    <mergeCell ref="A49:E49"/>
    <mergeCell ref="F49:I49"/>
    <mergeCell ref="J49:M49"/>
    <mergeCell ref="N49:Q49"/>
    <mergeCell ref="A50:E50"/>
    <mergeCell ref="F50:I50"/>
    <mergeCell ref="J50:M50"/>
    <mergeCell ref="N50:Q50"/>
    <mergeCell ref="A55:E55"/>
    <mergeCell ref="F55:I55"/>
    <mergeCell ref="J55:M55"/>
    <mergeCell ref="N55:Q55"/>
    <mergeCell ref="A56:E56"/>
    <mergeCell ref="F56:I56"/>
    <mergeCell ref="J56:M56"/>
    <mergeCell ref="N56:Q56"/>
    <mergeCell ref="A53:E53"/>
    <mergeCell ref="F53:I53"/>
    <mergeCell ref="J53:M53"/>
    <mergeCell ref="N53:Q53"/>
    <mergeCell ref="A54:E54"/>
    <mergeCell ref="F54:I54"/>
    <mergeCell ref="J54:M54"/>
    <mergeCell ref="N54:Q54"/>
    <mergeCell ref="A57:E57"/>
    <mergeCell ref="F57:I57"/>
    <mergeCell ref="J57:M57"/>
    <mergeCell ref="N57:Q57"/>
    <mergeCell ref="A59:E59"/>
    <mergeCell ref="F59:H59"/>
    <mergeCell ref="I59:K59"/>
    <mergeCell ref="L59:N59"/>
    <mergeCell ref="O59:Q59"/>
    <mergeCell ref="A60:E60"/>
    <mergeCell ref="F60:H60"/>
    <mergeCell ref="I60:K60"/>
    <mergeCell ref="L60:N60"/>
    <mergeCell ref="O60:Q60"/>
    <mergeCell ref="A61:E61"/>
    <mergeCell ref="F61:H61"/>
    <mergeCell ref="I61:K61"/>
    <mergeCell ref="L61:N61"/>
    <mergeCell ref="O61:Q61"/>
    <mergeCell ref="A62:E62"/>
    <mergeCell ref="F62:H62"/>
    <mergeCell ref="I62:K62"/>
    <mergeCell ref="L62:N62"/>
    <mergeCell ref="O62:Q62"/>
    <mergeCell ref="A63:E63"/>
    <mergeCell ref="F63:H63"/>
    <mergeCell ref="I63:K63"/>
    <mergeCell ref="L63:N63"/>
    <mergeCell ref="O63:Q63"/>
    <mergeCell ref="A64:E64"/>
    <mergeCell ref="F64:H64"/>
    <mergeCell ref="I64:K64"/>
    <mergeCell ref="L64:N64"/>
    <mergeCell ref="O64:Q64"/>
    <mergeCell ref="A65:E65"/>
    <mergeCell ref="F65:H65"/>
    <mergeCell ref="I65:K65"/>
    <mergeCell ref="L65:N65"/>
    <mergeCell ref="O65:Q65"/>
    <mergeCell ref="A66:E66"/>
    <mergeCell ref="F66:H66"/>
    <mergeCell ref="I66:K66"/>
    <mergeCell ref="L66:N66"/>
    <mergeCell ref="O66:Q66"/>
    <mergeCell ref="A67:E67"/>
    <mergeCell ref="F67:H67"/>
    <mergeCell ref="I67:K67"/>
    <mergeCell ref="L67:N67"/>
    <mergeCell ref="O67:Q67"/>
    <mergeCell ref="A68:E68"/>
    <mergeCell ref="F68:H68"/>
    <mergeCell ref="I68:K68"/>
    <mergeCell ref="L68:N68"/>
    <mergeCell ref="O68:Q68"/>
    <mergeCell ref="A69:E69"/>
    <mergeCell ref="F69:H69"/>
    <mergeCell ref="I69:K69"/>
    <mergeCell ref="L69:N69"/>
    <mergeCell ref="O69:Q69"/>
    <mergeCell ref="A70:E70"/>
    <mergeCell ref="F70:H70"/>
    <mergeCell ref="I70:K70"/>
    <mergeCell ref="L70:N70"/>
    <mergeCell ref="O70:Q70"/>
    <mergeCell ref="A71:E71"/>
    <mergeCell ref="F71:H71"/>
    <mergeCell ref="I71:K71"/>
    <mergeCell ref="L71:N71"/>
    <mergeCell ref="O71:Q71"/>
    <mergeCell ref="A72:E72"/>
    <mergeCell ref="F72:H72"/>
    <mergeCell ref="I72:K72"/>
    <mergeCell ref="L72:N72"/>
    <mergeCell ref="O72:Q72"/>
    <mergeCell ref="A73:E73"/>
    <mergeCell ref="F73:H73"/>
    <mergeCell ref="I73:K73"/>
    <mergeCell ref="L73:N73"/>
    <mergeCell ref="O73:Q73"/>
    <mergeCell ref="A76:E76"/>
    <mergeCell ref="F76:H76"/>
    <mergeCell ref="I76:K76"/>
    <mergeCell ref="L76:N76"/>
    <mergeCell ref="O76:Q76"/>
    <mergeCell ref="A79:G79"/>
    <mergeCell ref="H79:L79"/>
    <mergeCell ref="M79:Q79"/>
    <mergeCell ref="A74:E74"/>
    <mergeCell ref="F74:H74"/>
    <mergeCell ref="I74:K74"/>
    <mergeCell ref="L74:N74"/>
    <mergeCell ref="O74:Q74"/>
    <mergeCell ref="A75:E75"/>
    <mergeCell ref="F75:H75"/>
    <mergeCell ref="I75:K75"/>
    <mergeCell ref="L75:N75"/>
    <mergeCell ref="O75:Q75"/>
    <mergeCell ref="A82:G82"/>
    <mergeCell ref="H82:L82"/>
    <mergeCell ref="M82:Q82"/>
    <mergeCell ref="A84:E84"/>
    <mergeCell ref="F84:H84"/>
    <mergeCell ref="I84:K84"/>
    <mergeCell ref="L84:N84"/>
    <mergeCell ref="O84:Q84"/>
    <mergeCell ref="A80:G80"/>
    <mergeCell ref="H80:L80"/>
    <mergeCell ref="M80:Q80"/>
    <mergeCell ref="A81:G81"/>
    <mergeCell ref="H81:L81"/>
    <mergeCell ref="M81:Q81"/>
    <mergeCell ref="A85:E85"/>
    <mergeCell ref="F85:H85"/>
    <mergeCell ref="I85:K85"/>
    <mergeCell ref="L85:N85"/>
    <mergeCell ref="O85:Q85"/>
    <mergeCell ref="A88:E89"/>
    <mergeCell ref="F88:G89"/>
    <mergeCell ref="H88:O88"/>
    <mergeCell ref="P88:Q89"/>
    <mergeCell ref="H89:I89"/>
    <mergeCell ref="P90:Q90"/>
    <mergeCell ref="A91:E91"/>
    <mergeCell ref="F91:G91"/>
    <mergeCell ref="H91:I91"/>
    <mergeCell ref="J91:K91"/>
    <mergeCell ref="L91:M91"/>
    <mergeCell ref="N91:O91"/>
    <mergeCell ref="P91:Q91"/>
    <mergeCell ref="J89:K89"/>
    <mergeCell ref="L89:M89"/>
    <mergeCell ref="N89:O89"/>
    <mergeCell ref="A90:E90"/>
    <mergeCell ref="F90:G90"/>
    <mergeCell ref="H90:I90"/>
    <mergeCell ref="J90:K90"/>
    <mergeCell ref="L90:M90"/>
    <mergeCell ref="N90:O90"/>
    <mergeCell ref="P92:Q92"/>
    <mergeCell ref="A93:E93"/>
    <mergeCell ref="F93:G93"/>
    <mergeCell ref="H93:I93"/>
    <mergeCell ref="J93:K93"/>
    <mergeCell ref="L93:M93"/>
    <mergeCell ref="N93:O93"/>
    <mergeCell ref="P93:Q93"/>
    <mergeCell ref="A92:E92"/>
    <mergeCell ref="F92:G92"/>
    <mergeCell ref="H92:I92"/>
    <mergeCell ref="J92:K92"/>
    <mergeCell ref="L92:M92"/>
    <mergeCell ref="N92:O92"/>
    <mergeCell ref="P94:Q94"/>
    <mergeCell ref="A95:E95"/>
    <mergeCell ref="F95:G95"/>
    <mergeCell ref="H95:I95"/>
    <mergeCell ref="J95:K95"/>
    <mergeCell ref="L95:M95"/>
    <mergeCell ref="N95:O95"/>
    <mergeCell ref="P95:Q95"/>
    <mergeCell ref="A94:E94"/>
    <mergeCell ref="F94:G94"/>
    <mergeCell ref="H94:I94"/>
    <mergeCell ref="J94:K94"/>
    <mergeCell ref="L94:M94"/>
    <mergeCell ref="N94:O94"/>
    <mergeCell ref="P96:Q96"/>
    <mergeCell ref="A97:E97"/>
    <mergeCell ref="F97:G97"/>
    <mergeCell ref="H97:I97"/>
    <mergeCell ref="J97:K97"/>
    <mergeCell ref="L97:M97"/>
    <mergeCell ref="N97:O97"/>
    <mergeCell ref="P97:Q97"/>
    <mergeCell ref="A96:E96"/>
    <mergeCell ref="F96:G96"/>
    <mergeCell ref="H96:I96"/>
    <mergeCell ref="J96:K96"/>
    <mergeCell ref="L96:M96"/>
    <mergeCell ref="N96:O96"/>
    <mergeCell ref="P98:Q98"/>
    <mergeCell ref="A99:E99"/>
    <mergeCell ref="F99:G99"/>
    <mergeCell ref="H99:I99"/>
    <mergeCell ref="J99:K99"/>
    <mergeCell ref="L99:M99"/>
    <mergeCell ref="N99:O99"/>
    <mergeCell ref="P99:Q99"/>
    <mergeCell ref="A98:E98"/>
    <mergeCell ref="F98:G98"/>
    <mergeCell ref="H98:I98"/>
    <mergeCell ref="J98:K98"/>
    <mergeCell ref="L98:M98"/>
    <mergeCell ref="N98:O98"/>
    <mergeCell ref="P100:Q100"/>
    <mergeCell ref="A101:E101"/>
    <mergeCell ref="F101:G101"/>
    <mergeCell ref="H101:I101"/>
    <mergeCell ref="J101:K101"/>
    <mergeCell ref="L101:M101"/>
    <mergeCell ref="N101:O101"/>
    <mergeCell ref="P101:Q101"/>
    <mergeCell ref="A100:E100"/>
    <mergeCell ref="F100:G100"/>
    <mergeCell ref="H100:I100"/>
    <mergeCell ref="J100:K100"/>
    <mergeCell ref="L100:M100"/>
    <mergeCell ref="N100:O100"/>
    <mergeCell ref="A106:E106"/>
    <mergeCell ref="F106:I106"/>
    <mergeCell ref="J106:M106"/>
    <mergeCell ref="N106:Q106"/>
    <mergeCell ref="A107:E107"/>
    <mergeCell ref="F107:I107"/>
    <mergeCell ref="J107:M107"/>
    <mergeCell ref="N107:Q107"/>
    <mergeCell ref="P102:Q102"/>
    <mergeCell ref="A103:E103"/>
    <mergeCell ref="F103:G103"/>
    <mergeCell ref="H103:I103"/>
    <mergeCell ref="J103:K103"/>
    <mergeCell ref="L103:M103"/>
    <mergeCell ref="N103:O103"/>
    <mergeCell ref="P103:Q103"/>
    <mergeCell ref="A102:E102"/>
    <mergeCell ref="F102:G102"/>
    <mergeCell ref="H102:I102"/>
    <mergeCell ref="J102:K102"/>
    <mergeCell ref="L102:M102"/>
    <mergeCell ref="N102:O102"/>
    <mergeCell ref="A110:E110"/>
    <mergeCell ref="F110:I110"/>
    <mergeCell ref="J110:M110"/>
    <mergeCell ref="N110:Q110"/>
    <mergeCell ref="A111:E111"/>
    <mergeCell ref="C112:E112"/>
    <mergeCell ref="A108:E108"/>
    <mergeCell ref="F108:I108"/>
    <mergeCell ref="J108:M108"/>
    <mergeCell ref="N108:Q108"/>
    <mergeCell ref="A109:E109"/>
    <mergeCell ref="F109:I109"/>
    <mergeCell ref="J109:M109"/>
    <mergeCell ref="N109:Q109"/>
    <mergeCell ref="A123:Q123"/>
    <mergeCell ref="A124:Q124"/>
    <mergeCell ref="A125:Q125"/>
    <mergeCell ref="C113:E113"/>
    <mergeCell ref="C114:E114"/>
    <mergeCell ref="C115:E115"/>
    <mergeCell ref="A118:Q118"/>
    <mergeCell ref="A121:Q121"/>
    <mergeCell ref="A122:Q122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topLeftCell="B1" workbookViewId="0">
      <selection activeCell="A2" sqref="A2"/>
    </sheetView>
  </sheetViews>
  <sheetFormatPr defaultColWidth="9" defaultRowHeight="12.75"/>
  <cols>
    <col min="1" max="1" width="0.7109375" style="8" hidden="1" customWidth="1"/>
    <col min="2" max="2" width="3.85546875" style="8" customWidth="1"/>
    <col min="3" max="3" width="33.7109375" style="8" customWidth="1"/>
    <col min="4" max="13" width="5.7109375" style="8" customWidth="1"/>
    <col min="14" max="14" width="5" style="8" customWidth="1"/>
    <col min="15" max="15" width="5.28515625" style="8" customWidth="1"/>
    <col min="16" max="16" width="6.140625" style="8" customWidth="1"/>
    <col min="17" max="17" width="6" style="8" customWidth="1"/>
    <col min="18" max="18" width="5.7109375" style="8" customWidth="1"/>
    <col min="19" max="19" width="10.7109375" style="8" customWidth="1"/>
    <col min="20" max="20" width="10.85546875" style="8" customWidth="1"/>
    <col min="21" max="21" width="11.28515625" style="8" customWidth="1"/>
    <col min="22" max="16384" width="9" style="8"/>
  </cols>
  <sheetData>
    <row r="1" spans="2:18" ht="18.75">
      <c r="B1" s="172" t="s">
        <v>80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2:18" ht="18.75">
      <c r="B2" s="172" t="s">
        <v>129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</row>
    <row r="4" spans="2:18" ht="15">
      <c r="O4" s="161" t="s">
        <v>0</v>
      </c>
      <c r="P4" s="161"/>
      <c r="Q4" s="127" t="s">
        <v>81</v>
      </c>
      <c r="R4" s="127"/>
    </row>
    <row r="5" spans="2:18" ht="15">
      <c r="O5" s="161" t="s">
        <v>1</v>
      </c>
      <c r="P5" s="161"/>
      <c r="Q5" s="127" t="s">
        <v>82</v>
      </c>
      <c r="R5" s="127"/>
    </row>
    <row r="7" spans="2:18" ht="18.75">
      <c r="B7" s="9">
        <v>1</v>
      </c>
      <c r="C7" s="10" t="s">
        <v>83</v>
      </c>
      <c r="D7" s="11"/>
      <c r="E7" s="11"/>
      <c r="F7" s="11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</row>
    <row r="8" spans="2:18" ht="15">
      <c r="B8" s="9">
        <v>2</v>
      </c>
      <c r="C8" s="10" t="s">
        <v>84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1"/>
    </row>
    <row r="10" spans="2:18" s="9" customFormat="1" ht="15">
      <c r="B10" s="9">
        <v>3.1</v>
      </c>
      <c r="C10" s="9" t="s">
        <v>85</v>
      </c>
    </row>
    <row r="12" spans="2:18" ht="15">
      <c r="C12" s="13" t="s">
        <v>8</v>
      </c>
      <c r="D12" s="160" t="s">
        <v>86</v>
      </c>
      <c r="E12" s="160"/>
      <c r="F12" s="160"/>
      <c r="G12" s="160" t="s">
        <v>10</v>
      </c>
      <c r="H12" s="160"/>
      <c r="I12" s="160"/>
      <c r="J12" s="161" t="s">
        <v>11</v>
      </c>
      <c r="K12" s="161"/>
      <c r="L12" s="161"/>
      <c r="M12" s="160" t="s">
        <v>87</v>
      </c>
      <c r="N12" s="160"/>
      <c r="O12" s="160"/>
      <c r="P12" s="161" t="s">
        <v>13</v>
      </c>
      <c r="Q12" s="161"/>
      <c r="R12" s="161"/>
    </row>
    <row r="13" spans="2:18" ht="15">
      <c r="C13" s="14">
        <v>1</v>
      </c>
      <c r="D13" s="115">
        <v>2</v>
      </c>
      <c r="E13" s="115"/>
      <c r="F13" s="115"/>
      <c r="G13" s="125">
        <v>3</v>
      </c>
      <c r="H13" s="125"/>
      <c r="I13" s="125"/>
      <c r="J13" s="115">
        <v>4</v>
      </c>
      <c r="K13" s="115"/>
      <c r="L13" s="115"/>
      <c r="M13" s="115">
        <v>5</v>
      </c>
      <c r="N13" s="115"/>
      <c r="O13" s="115"/>
      <c r="P13" s="115">
        <v>6</v>
      </c>
      <c r="Q13" s="115"/>
      <c r="R13" s="115"/>
    </row>
    <row r="14" spans="2:18" ht="45">
      <c r="C14" s="15" t="s">
        <v>88</v>
      </c>
      <c r="D14" s="166"/>
      <c r="E14" s="166"/>
      <c r="F14" s="166"/>
      <c r="G14" s="166">
        <v>0</v>
      </c>
      <c r="H14" s="166"/>
      <c r="I14" s="166"/>
      <c r="J14" s="166">
        <v>0</v>
      </c>
      <c r="K14" s="166"/>
      <c r="L14" s="166"/>
      <c r="M14" s="166">
        <v>0</v>
      </c>
      <c r="N14" s="166"/>
      <c r="O14" s="166"/>
      <c r="P14" s="166">
        <v>0</v>
      </c>
      <c r="Q14" s="166"/>
      <c r="R14" s="166"/>
    </row>
    <row r="15" spans="2:18" ht="30">
      <c r="C15" s="15" t="s">
        <v>89</v>
      </c>
      <c r="D15" s="166"/>
      <c r="E15" s="166"/>
      <c r="F15" s="166"/>
      <c r="G15" s="168">
        <v>0</v>
      </c>
      <c r="H15" s="168"/>
      <c r="I15" s="168"/>
      <c r="J15" s="166">
        <v>0</v>
      </c>
      <c r="K15" s="166"/>
      <c r="L15" s="166"/>
      <c r="M15" s="166">
        <v>0</v>
      </c>
      <c r="N15" s="166"/>
      <c r="O15" s="166"/>
      <c r="P15" s="168">
        <v>0</v>
      </c>
      <c r="Q15" s="168"/>
      <c r="R15" s="168"/>
    </row>
    <row r="16" spans="2:18" ht="30">
      <c r="C16" s="15" t="s">
        <v>90</v>
      </c>
      <c r="D16" s="166"/>
      <c r="E16" s="166"/>
      <c r="F16" s="166"/>
      <c r="G16" s="166">
        <v>0</v>
      </c>
      <c r="H16" s="166"/>
      <c r="I16" s="166"/>
      <c r="J16" s="166">
        <v>0</v>
      </c>
      <c r="K16" s="166"/>
      <c r="L16" s="166"/>
      <c r="M16" s="166">
        <v>0</v>
      </c>
      <c r="N16" s="166"/>
      <c r="O16" s="166"/>
      <c r="P16" s="166">
        <v>0</v>
      </c>
      <c r="Q16" s="166"/>
      <c r="R16" s="166"/>
    </row>
    <row r="17" spans="2:18" ht="30">
      <c r="C17" s="15" t="s">
        <v>91</v>
      </c>
      <c r="D17" s="166"/>
      <c r="E17" s="166"/>
      <c r="F17" s="166"/>
      <c r="G17" s="166">
        <v>0</v>
      </c>
      <c r="H17" s="166"/>
      <c r="I17" s="166"/>
      <c r="J17" s="166">
        <v>0</v>
      </c>
      <c r="K17" s="166"/>
      <c r="L17" s="166"/>
      <c r="M17" s="166">
        <v>0</v>
      </c>
      <c r="N17" s="166"/>
      <c r="O17" s="166"/>
      <c r="P17" s="166">
        <v>0</v>
      </c>
      <c r="Q17" s="166"/>
      <c r="R17" s="166"/>
    </row>
    <row r="18" spans="2:18" ht="15.75">
      <c r="C18" s="15" t="s">
        <v>92</v>
      </c>
      <c r="D18" s="166"/>
      <c r="E18" s="166"/>
      <c r="F18" s="166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</row>
    <row r="19" spans="2:18" ht="15.75">
      <c r="C19" s="15" t="s">
        <v>93</v>
      </c>
      <c r="D19" s="166"/>
      <c r="E19" s="166"/>
      <c r="F19" s="166"/>
      <c r="G19" s="166">
        <v>0</v>
      </c>
      <c r="H19" s="166"/>
      <c r="I19" s="166"/>
      <c r="J19" s="166">
        <v>0</v>
      </c>
      <c r="K19" s="166"/>
      <c r="L19" s="166"/>
      <c r="M19" s="166">
        <v>0</v>
      </c>
      <c r="N19" s="166"/>
      <c r="O19" s="166"/>
      <c r="P19" s="166">
        <v>0</v>
      </c>
      <c r="Q19" s="166"/>
      <c r="R19" s="166"/>
    </row>
    <row r="21" spans="2:18" s="9" customFormat="1" ht="15">
      <c r="B21" s="9">
        <v>3.2</v>
      </c>
      <c r="C21" s="9" t="s">
        <v>94</v>
      </c>
    </row>
    <row r="22" spans="2:18" s="9" customFormat="1" ht="15">
      <c r="C22" s="9" t="s">
        <v>95</v>
      </c>
    </row>
    <row r="24" spans="2:18" s="9" customFormat="1" ht="20.25" customHeight="1">
      <c r="C24" s="13"/>
      <c r="D24" s="160" t="s">
        <v>96</v>
      </c>
      <c r="E24" s="160"/>
      <c r="F24" s="160"/>
      <c r="G24" s="160"/>
      <c r="H24" s="160"/>
      <c r="I24" s="160" t="s">
        <v>86</v>
      </c>
      <c r="J24" s="160"/>
      <c r="K24" s="160"/>
      <c r="L24" s="160"/>
      <c r="M24" s="160"/>
      <c r="N24" s="160" t="s">
        <v>97</v>
      </c>
      <c r="O24" s="160"/>
      <c r="P24" s="160"/>
      <c r="Q24" s="160"/>
      <c r="R24" s="160"/>
    </row>
    <row r="25" spans="2:18" s="9" customFormat="1" ht="20.25" customHeight="1">
      <c r="C25" s="14">
        <v>1</v>
      </c>
      <c r="D25" s="115">
        <v>2</v>
      </c>
      <c r="E25" s="115"/>
      <c r="F25" s="115"/>
      <c r="G25" s="115"/>
      <c r="H25" s="115"/>
      <c r="I25" s="115">
        <v>3</v>
      </c>
      <c r="J25" s="115"/>
      <c r="K25" s="115"/>
      <c r="L25" s="115"/>
      <c r="M25" s="115"/>
      <c r="N25" s="115">
        <v>4</v>
      </c>
      <c r="O25" s="115"/>
      <c r="P25" s="115"/>
      <c r="Q25" s="115"/>
      <c r="R25" s="115"/>
    </row>
    <row r="26" spans="2:18" ht="25.5">
      <c r="C26" s="16" t="s">
        <v>28</v>
      </c>
      <c r="D26" s="163"/>
      <c r="E26" s="164"/>
      <c r="F26" s="164"/>
      <c r="G26" s="164"/>
      <c r="H26" s="165"/>
      <c r="I26" s="162"/>
      <c r="J26" s="162"/>
      <c r="K26" s="162"/>
      <c r="L26" s="162"/>
      <c r="M26" s="162"/>
      <c r="N26" s="162"/>
      <c r="O26" s="162"/>
      <c r="P26" s="162"/>
      <c r="Q26" s="162"/>
      <c r="R26" s="162"/>
    </row>
    <row r="27" spans="2:18" ht="25.5">
      <c r="C27" s="16" t="s">
        <v>28</v>
      </c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</row>
    <row r="28" spans="2:18" ht="25.5">
      <c r="C28" s="16" t="s">
        <v>28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</row>
    <row r="29" spans="2:18" ht="25.5">
      <c r="C29" s="16" t="s">
        <v>28</v>
      </c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</row>
    <row r="30" spans="2:18" ht="25.5">
      <c r="C30" s="16" t="s">
        <v>28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</row>
    <row r="31" spans="2:18" ht="25.5">
      <c r="C31" s="16" t="s">
        <v>28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</row>
    <row r="32" spans="2:18" ht="25.5">
      <c r="C32" s="16" t="s">
        <v>29</v>
      </c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</row>
    <row r="33" spans="2:18" ht="25.5">
      <c r="C33" s="16" t="s">
        <v>29</v>
      </c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</row>
    <row r="34" spans="2:18" ht="25.5">
      <c r="C34" s="16" t="s">
        <v>29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</row>
    <row r="35" spans="2:18" ht="25.5">
      <c r="C35" s="16" t="s">
        <v>29</v>
      </c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</row>
    <row r="36" spans="2:18" ht="25.5">
      <c r="C36" s="16" t="s">
        <v>29</v>
      </c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</row>
    <row r="37" spans="2:18" ht="25.5">
      <c r="C37" s="16" t="s">
        <v>29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</row>
    <row r="38" spans="2:18">
      <c r="C38" s="16" t="s">
        <v>30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</row>
    <row r="40" spans="2:18" s="9" customFormat="1" ht="15.75">
      <c r="C40" s="17" t="s">
        <v>56</v>
      </c>
      <c r="D40" s="157">
        <v>0</v>
      </c>
      <c r="E40" s="158"/>
      <c r="F40" s="158"/>
      <c r="G40" s="159"/>
      <c r="H40" s="157">
        <v>0</v>
      </c>
      <c r="I40" s="158"/>
      <c r="J40" s="158"/>
      <c r="K40" s="159"/>
      <c r="L40" s="157">
        <v>0</v>
      </c>
      <c r="M40" s="158"/>
      <c r="N40" s="158"/>
      <c r="O40" s="159"/>
      <c r="P40" s="157">
        <v>0</v>
      </c>
      <c r="Q40" s="158"/>
      <c r="R40" s="159"/>
    </row>
    <row r="41" spans="2:18" ht="15">
      <c r="B41" s="8">
        <v>4</v>
      </c>
      <c r="C41" s="18" t="s">
        <v>98</v>
      </c>
    </row>
    <row r="42" spans="2:18" s="9" customFormat="1" ht="15">
      <c r="C42" s="19" t="s">
        <v>33</v>
      </c>
      <c r="D42" s="160" t="s">
        <v>10</v>
      </c>
      <c r="E42" s="160"/>
      <c r="F42" s="160"/>
      <c r="G42" s="160"/>
      <c r="H42" s="161" t="s">
        <v>11</v>
      </c>
      <c r="I42" s="161"/>
      <c r="J42" s="161"/>
      <c r="K42" s="161"/>
      <c r="L42" s="160" t="s">
        <v>87</v>
      </c>
      <c r="M42" s="160"/>
      <c r="N42" s="160"/>
      <c r="O42" s="160"/>
      <c r="P42" s="161" t="s">
        <v>13</v>
      </c>
      <c r="Q42" s="161"/>
      <c r="R42" s="161"/>
    </row>
    <row r="43" spans="2:18" s="9" customFormat="1" ht="15">
      <c r="C43" s="20">
        <v>1</v>
      </c>
      <c r="D43" s="148">
        <v>2</v>
      </c>
      <c r="E43" s="149"/>
      <c r="F43" s="149"/>
      <c r="G43" s="150"/>
      <c r="H43" s="148">
        <v>3</v>
      </c>
      <c r="I43" s="149"/>
      <c r="J43" s="149"/>
      <c r="K43" s="150"/>
      <c r="L43" s="148">
        <v>4</v>
      </c>
      <c r="M43" s="149"/>
      <c r="N43" s="149"/>
      <c r="O43" s="150"/>
      <c r="P43" s="148">
        <v>5</v>
      </c>
      <c r="Q43" s="149"/>
      <c r="R43" s="150"/>
    </row>
    <row r="44" spans="2:18" ht="30">
      <c r="C44" s="21" t="s">
        <v>99</v>
      </c>
      <c r="D44" s="151"/>
      <c r="E44" s="152"/>
      <c r="F44" s="152"/>
      <c r="G44" s="153"/>
      <c r="H44" s="154"/>
      <c r="I44" s="155"/>
      <c r="J44" s="155"/>
      <c r="K44" s="156"/>
      <c r="L44" s="154"/>
      <c r="M44" s="155"/>
      <c r="N44" s="155"/>
      <c r="O44" s="156"/>
      <c r="P44" s="154"/>
      <c r="Q44" s="155"/>
      <c r="R44" s="156"/>
    </row>
    <row r="45" spans="2:18" ht="15.75">
      <c r="C45" s="22" t="s">
        <v>35</v>
      </c>
      <c r="D45" s="144">
        <v>0</v>
      </c>
      <c r="E45" s="145"/>
      <c r="F45" s="145"/>
      <c r="G45" s="146"/>
      <c r="H45" s="137"/>
      <c r="I45" s="138"/>
      <c r="J45" s="138"/>
      <c r="K45" s="139"/>
      <c r="L45" s="137"/>
      <c r="M45" s="138"/>
      <c r="N45" s="138"/>
      <c r="O45" s="139"/>
      <c r="P45" s="137">
        <v>0</v>
      </c>
      <c r="Q45" s="138"/>
      <c r="R45" s="139"/>
    </row>
    <row r="46" spans="2:18" ht="15.75">
      <c r="C46" s="22" t="s">
        <v>36</v>
      </c>
      <c r="D46" s="144">
        <v>0</v>
      </c>
      <c r="E46" s="145"/>
      <c r="F46" s="145"/>
      <c r="G46" s="146"/>
      <c r="H46" s="137"/>
      <c r="I46" s="138"/>
      <c r="J46" s="138"/>
      <c r="K46" s="139"/>
      <c r="L46" s="137"/>
      <c r="M46" s="138"/>
      <c r="N46" s="138"/>
      <c r="O46" s="139"/>
      <c r="P46" s="137">
        <v>0</v>
      </c>
      <c r="Q46" s="138"/>
      <c r="R46" s="139"/>
    </row>
    <row r="47" spans="2:18" ht="30">
      <c r="C47" s="22" t="s">
        <v>100</v>
      </c>
      <c r="D47" s="144">
        <v>0</v>
      </c>
      <c r="E47" s="145"/>
      <c r="F47" s="145"/>
      <c r="G47" s="146"/>
      <c r="H47" s="137"/>
      <c r="I47" s="138"/>
      <c r="J47" s="138"/>
      <c r="K47" s="139"/>
      <c r="L47" s="137"/>
      <c r="M47" s="138"/>
      <c r="N47" s="138"/>
      <c r="O47" s="139"/>
      <c r="P47" s="137"/>
      <c r="Q47" s="138"/>
      <c r="R47" s="139"/>
    </row>
    <row r="48" spans="2:18" ht="15.75">
      <c r="C48" s="23" t="s">
        <v>101</v>
      </c>
      <c r="D48" s="144">
        <v>0</v>
      </c>
      <c r="E48" s="145"/>
      <c r="F48" s="145"/>
      <c r="G48" s="146"/>
      <c r="H48" s="137"/>
      <c r="I48" s="138"/>
      <c r="J48" s="138"/>
      <c r="K48" s="139"/>
      <c r="L48" s="137"/>
      <c r="M48" s="138"/>
      <c r="N48" s="138"/>
      <c r="O48" s="139"/>
      <c r="P48" s="137"/>
      <c r="Q48" s="138"/>
      <c r="R48" s="139"/>
    </row>
    <row r="49" spans="2:18" ht="15.75">
      <c r="C49" s="23" t="s">
        <v>38</v>
      </c>
      <c r="D49" s="144">
        <v>0</v>
      </c>
      <c r="E49" s="145"/>
      <c r="F49" s="145"/>
      <c r="G49" s="146"/>
      <c r="H49" s="137"/>
      <c r="I49" s="138"/>
      <c r="J49" s="138"/>
      <c r="K49" s="139"/>
      <c r="L49" s="137"/>
      <c r="M49" s="138"/>
      <c r="N49" s="138"/>
      <c r="O49" s="139"/>
      <c r="P49" s="137"/>
      <c r="Q49" s="138"/>
      <c r="R49" s="139"/>
    </row>
    <row r="50" spans="2:18" ht="15.75">
      <c r="C50" s="23" t="s">
        <v>39</v>
      </c>
      <c r="D50" s="144">
        <f>D44-(D45+D46+D47+D48+D49)</f>
        <v>0</v>
      </c>
      <c r="E50" s="138"/>
      <c r="F50" s="138"/>
      <c r="G50" s="139"/>
      <c r="H50" s="137">
        <f>H44-(H45+H46+H47+H48+H49)</f>
        <v>0</v>
      </c>
      <c r="I50" s="138"/>
      <c r="J50" s="138"/>
      <c r="K50" s="139"/>
      <c r="L50" s="137">
        <f>L44-(L45+L46+L47+L48+L49)</f>
        <v>0</v>
      </c>
      <c r="M50" s="138"/>
      <c r="N50" s="138"/>
      <c r="O50" s="139"/>
      <c r="P50" s="137">
        <f>P44-(P45+P46+P47+P48+P49)</f>
        <v>0</v>
      </c>
      <c r="Q50" s="138"/>
      <c r="R50" s="139"/>
    </row>
    <row r="51" spans="2:18" ht="15.75">
      <c r="C51" s="21" t="s">
        <v>41</v>
      </c>
      <c r="D51" s="147">
        <f>D52+D53</f>
        <v>0</v>
      </c>
      <c r="E51" s="142"/>
      <c r="F51" s="142"/>
      <c r="G51" s="143"/>
      <c r="H51" s="141">
        <f>H52+H53</f>
        <v>0</v>
      </c>
      <c r="I51" s="142"/>
      <c r="J51" s="142"/>
      <c r="K51" s="143"/>
      <c r="L51" s="141">
        <f>L52+L53</f>
        <v>0</v>
      </c>
      <c r="M51" s="142"/>
      <c r="N51" s="142"/>
      <c r="O51" s="143"/>
      <c r="P51" s="141">
        <f>P52+P53</f>
        <v>0</v>
      </c>
      <c r="Q51" s="142"/>
      <c r="R51" s="143"/>
    </row>
    <row r="52" spans="2:18" ht="30">
      <c r="C52" s="23" t="s">
        <v>102</v>
      </c>
      <c r="D52" s="144">
        <v>0</v>
      </c>
      <c r="E52" s="145"/>
      <c r="F52" s="145"/>
      <c r="G52" s="146"/>
      <c r="H52" s="137"/>
      <c r="I52" s="138"/>
      <c r="J52" s="138"/>
      <c r="K52" s="139"/>
      <c r="L52" s="137"/>
      <c r="M52" s="138"/>
      <c r="N52" s="138"/>
      <c r="O52" s="139"/>
      <c r="P52" s="137"/>
      <c r="Q52" s="138"/>
      <c r="R52" s="139"/>
    </row>
    <row r="53" spans="2:18" ht="15.75">
      <c r="C53" s="23" t="s">
        <v>43</v>
      </c>
      <c r="D53" s="144">
        <v>0</v>
      </c>
      <c r="E53" s="145"/>
      <c r="F53" s="145"/>
      <c r="G53" s="146"/>
      <c r="H53" s="137">
        <v>0</v>
      </c>
      <c r="I53" s="138"/>
      <c r="J53" s="138"/>
      <c r="K53" s="139"/>
      <c r="L53" s="137">
        <v>0</v>
      </c>
      <c r="M53" s="138"/>
      <c r="N53" s="138"/>
      <c r="O53" s="139"/>
      <c r="P53" s="137">
        <v>0</v>
      </c>
      <c r="Q53" s="138"/>
      <c r="R53" s="139"/>
    </row>
    <row r="54" spans="2:18" ht="15.75">
      <c r="C54" s="24" t="s">
        <v>103</v>
      </c>
      <c r="D54" s="147">
        <f>(D45+D46+D47+D48+D49+D50)-D51</f>
        <v>0</v>
      </c>
      <c r="E54" s="142"/>
      <c r="F54" s="142"/>
      <c r="G54" s="143"/>
      <c r="H54" s="147">
        <f>(H45+H46+H47+H48+H49+H50)-H51</f>
        <v>0</v>
      </c>
      <c r="I54" s="142"/>
      <c r="J54" s="142"/>
      <c r="K54" s="143"/>
      <c r="L54" s="147">
        <f>(L45+L46+L47+L48+L49+L50)-L51</f>
        <v>0</v>
      </c>
      <c r="M54" s="142"/>
      <c r="N54" s="142"/>
      <c r="O54" s="143"/>
      <c r="P54" s="141">
        <f>(P45+P46+P47+P48+P49+P50)-P51</f>
        <v>0</v>
      </c>
      <c r="Q54" s="142"/>
      <c r="R54" s="143"/>
    </row>
    <row r="55" spans="2:18" ht="15.75">
      <c r="C55" s="24" t="s">
        <v>104</v>
      </c>
      <c r="D55" s="141"/>
      <c r="E55" s="142"/>
      <c r="F55" s="142"/>
      <c r="G55" s="143"/>
      <c r="H55" s="141"/>
      <c r="I55" s="142"/>
      <c r="J55" s="142"/>
      <c r="K55" s="143"/>
      <c r="L55" s="141"/>
      <c r="M55" s="142"/>
      <c r="N55" s="142"/>
      <c r="O55" s="143"/>
      <c r="P55" s="141"/>
      <c r="Q55" s="142"/>
      <c r="R55" s="143"/>
    </row>
    <row r="56" spans="2:18" ht="15.75">
      <c r="C56" s="23" t="s">
        <v>105</v>
      </c>
      <c r="D56" s="144">
        <v>0</v>
      </c>
      <c r="E56" s="145"/>
      <c r="F56" s="145"/>
      <c r="G56" s="146"/>
      <c r="H56" s="137"/>
      <c r="I56" s="138"/>
      <c r="J56" s="138"/>
      <c r="K56" s="139"/>
      <c r="L56" s="137"/>
      <c r="M56" s="138"/>
      <c r="N56" s="138"/>
      <c r="O56" s="139"/>
      <c r="P56" s="137"/>
      <c r="Q56" s="138"/>
      <c r="R56" s="139"/>
    </row>
    <row r="57" spans="2:18" ht="15.75">
      <c r="C57" s="23" t="s">
        <v>43</v>
      </c>
      <c r="D57" s="137"/>
      <c r="E57" s="138"/>
      <c r="F57" s="138"/>
      <c r="G57" s="139"/>
      <c r="H57" s="137"/>
      <c r="I57" s="138"/>
      <c r="J57" s="138"/>
      <c r="K57" s="139"/>
      <c r="L57" s="137"/>
      <c r="M57" s="138"/>
      <c r="N57" s="138"/>
      <c r="O57" s="139"/>
      <c r="P57" s="137"/>
      <c r="Q57" s="138"/>
      <c r="R57" s="139"/>
    </row>
    <row r="59" spans="2:18" s="9" customFormat="1" ht="15">
      <c r="B59" s="9">
        <v>5</v>
      </c>
      <c r="C59" s="9" t="s">
        <v>51</v>
      </c>
    </row>
    <row r="61" spans="2:18" ht="15">
      <c r="C61" s="140" t="s">
        <v>106</v>
      </c>
      <c r="D61" s="140"/>
      <c r="E61" s="140" t="s">
        <v>107</v>
      </c>
      <c r="F61" s="140"/>
      <c r="G61" s="140"/>
      <c r="H61" s="140"/>
      <c r="I61" s="140"/>
      <c r="J61" s="140"/>
      <c r="K61" s="140"/>
      <c r="L61" s="140" t="s">
        <v>108</v>
      </c>
      <c r="M61" s="140"/>
      <c r="N61" s="140"/>
      <c r="O61" s="140"/>
      <c r="P61" s="140"/>
      <c r="Q61" s="140"/>
      <c r="R61" s="140"/>
    </row>
    <row r="62" spans="2:18">
      <c r="C62" s="135">
        <v>1</v>
      </c>
      <c r="D62" s="135"/>
      <c r="E62" s="135">
        <v>2</v>
      </c>
      <c r="F62" s="135"/>
      <c r="G62" s="135"/>
      <c r="H62" s="135"/>
      <c r="I62" s="135"/>
      <c r="J62" s="135"/>
      <c r="K62" s="135"/>
      <c r="L62" s="135">
        <v>3</v>
      </c>
      <c r="M62" s="135"/>
      <c r="N62" s="135"/>
      <c r="O62" s="135"/>
      <c r="P62" s="135"/>
      <c r="Q62" s="135"/>
      <c r="R62" s="135"/>
    </row>
    <row r="63" spans="2:18" ht="30.4" customHeight="1">
      <c r="C63" s="136" t="s">
        <v>109</v>
      </c>
      <c r="D63" s="136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</row>
    <row r="64" spans="2:18" ht="15">
      <c r="C64" s="126" t="s">
        <v>110</v>
      </c>
      <c r="D64" s="126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</row>
    <row r="66" spans="2:18" ht="15">
      <c r="B66" s="9">
        <v>6.1</v>
      </c>
      <c r="C66" s="9" t="s">
        <v>58</v>
      </c>
    </row>
    <row r="68" spans="2:18" s="25" customFormat="1">
      <c r="C68" s="128" t="s">
        <v>59</v>
      </c>
      <c r="D68" s="123" t="s">
        <v>111</v>
      </c>
      <c r="E68" s="123"/>
      <c r="F68" s="123" t="s">
        <v>112</v>
      </c>
      <c r="G68" s="123"/>
      <c r="H68" s="123"/>
      <c r="I68" s="123"/>
      <c r="J68" s="123"/>
      <c r="K68" s="123"/>
      <c r="L68" s="123"/>
      <c r="M68" s="123"/>
      <c r="N68" s="129" t="s">
        <v>113</v>
      </c>
      <c r="O68" s="131" t="s">
        <v>114</v>
      </c>
      <c r="P68" s="132"/>
      <c r="Q68" s="123" t="s">
        <v>115</v>
      </c>
      <c r="R68" s="123" t="s">
        <v>116</v>
      </c>
    </row>
    <row r="69" spans="2:18" s="25" customFormat="1">
      <c r="C69" s="128"/>
      <c r="D69" s="123"/>
      <c r="E69" s="123"/>
      <c r="F69" s="123" t="s">
        <v>10</v>
      </c>
      <c r="G69" s="124"/>
      <c r="H69" s="123" t="s">
        <v>11</v>
      </c>
      <c r="I69" s="123"/>
      <c r="J69" s="123" t="s">
        <v>117</v>
      </c>
      <c r="K69" s="123"/>
      <c r="L69" s="123" t="s">
        <v>13</v>
      </c>
      <c r="M69" s="123"/>
      <c r="N69" s="130"/>
      <c r="O69" s="133"/>
      <c r="P69" s="134"/>
      <c r="Q69" s="123"/>
      <c r="R69" s="123"/>
    </row>
    <row r="70" spans="2:18" ht="15">
      <c r="C70" s="14">
        <v>1</v>
      </c>
      <c r="D70" s="125">
        <v>2</v>
      </c>
      <c r="E70" s="125"/>
      <c r="F70" s="125">
        <v>3</v>
      </c>
      <c r="G70" s="125"/>
      <c r="H70" s="125">
        <v>4</v>
      </c>
      <c r="I70" s="125"/>
      <c r="J70" s="125">
        <v>5</v>
      </c>
      <c r="K70" s="125"/>
      <c r="L70" s="125">
        <v>6</v>
      </c>
      <c r="M70" s="125"/>
      <c r="N70" s="20">
        <v>7</v>
      </c>
      <c r="O70" s="121">
        <v>8</v>
      </c>
      <c r="P70" s="122"/>
      <c r="Q70" s="20">
        <v>9</v>
      </c>
      <c r="R70" s="20">
        <v>10</v>
      </c>
    </row>
    <row r="71" spans="2:18" ht="15">
      <c r="C71" s="26" t="s">
        <v>10</v>
      </c>
      <c r="D71" s="120">
        <f>G14+G15+G16</f>
        <v>0</v>
      </c>
      <c r="E71" s="120"/>
      <c r="F71" s="120">
        <v>0</v>
      </c>
      <c r="G71" s="120"/>
      <c r="H71" s="120">
        <v>0</v>
      </c>
      <c r="I71" s="120"/>
      <c r="J71" s="120">
        <v>0</v>
      </c>
      <c r="K71" s="120"/>
      <c r="L71" s="120">
        <v>0</v>
      </c>
      <c r="M71" s="120"/>
      <c r="N71" s="27"/>
      <c r="O71" s="119">
        <f>D71-(F71+H71+J71)</f>
        <v>0</v>
      </c>
      <c r="P71" s="119"/>
      <c r="Q71" s="26"/>
      <c r="R71" s="26"/>
    </row>
    <row r="72" spans="2:18" ht="15">
      <c r="C72" s="26" t="s">
        <v>11</v>
      </c>
      <c r="D72" s="120">
        <f>J14+J15+J16</f>
        <v>0</v>
      </c>
      <c r="E72" s="120"/>
      <c r="F72" s="120">
        <v>0</v>
      </c>
      <c r="G72" s="120"/>
      <c r="H72" s="120">
        <v>0</v>
      </c>
      <c r="I72" s="120"/>
      <c r="J72" s="119"/>
      <c r="K72" s="119"/>
      <c r="L72" s="120">
        <v>0</v>
      </c>
      <c r="M72" s="120"/>
      <c r="N72" s="27"/>
      <c r="O72" s="119">
        <f>D72-(F72+H72+J72)</f>
        <v>0</v>
      </c>
      <c r="P72" s="119"/>
      <c r="Q72" s="26"/>
      <c r="R72" s="26"/>
    </row>
    <row r="73" spans="2:18" ht="15">
      <c r="C73" s="26" t="s">
        <v>12</v>
      </c>
      <c r="D73" s="120">
        <f>M14+M15+M16</f>
        <v>0</v>
      </c>
      <c r="E73" s="120"/>
      <c r="F73" s="120">
        <v>0</v>
      </c>
      <c r="G73" s="120"/>
      <c r="H73" s="119"/>
      <c r="I73" s="119"/>
      <c r="J73" s="120">
        <f>L54</f>
        <v>0</v>
      </c>
      <c r="K73" s="120"/>
      <c r="L73" s="120">
        <v>0</v>
      </c>
      <c r="M73" s="120"/>
      <c r="N73" s="27"/>
      <c r="O73" s="119">
        <f>D73-(F73+H73+J73)</f>
        <v>0</v>
      </c>
      <c r="P73" s="119"/>
      <c r="Q73" s="26"/>
      <c r="R73" s="26"/>
    </row>
    <row r="74" spans="2:18" ht="15">
      <c r="C74" s="26" t="s">
        <v>13</v>
      </c>
      <c r="D74" s="120">
        <f>P14+P15+P16+P17</f>
        <v>0</v>
      </c>
      <c r="E74" s="120"/>
      <c r="F74" s="119"/>
      <c r="G74" s="119"/>
      <c r="H74" s="119"/>
      <c r="I74" s="119"/>
      <c r="J74" s="119"/>
      <c r="K74" s="119"/>
      <c r="L74" s="120">
        <f>P54</f>
        <v>0</v>
      </c>
      <c r="M74" s="120"/>
      <c r="N74" s="27"/>
      <c r="O74" s="119">
        <f>D74-(F74+H74+J74+L74)</f>
        <v>0</v>
      </c>
      <c r="P74" s="119"/>
      <c r="Q74" s="26"/>
      <c r="R74" s="26"/>
    </row>
    <row r="75" spans="2:18" ht="31.5">
      <c r="C75" s="28" t="s">
        <v>118</v>
      </c>
      <c r="D75" s="118">
        <f>G17</f>
        <v>0</v>
      </c>
      <c r="E75" s="118"/>
      <c r="F75" s="119"/>
      <c r="G75" s="119"/>
      <c r="H75" s="119"/>
      <c r="I75" s="119"/>
      <c r="J75" s="119"/>
      <c r="K75" s="119"/>
      <c r="L75" s="120">
        <f>P55</f>
        <v>0</v>
      </c>
      <c r="M75" s="120"/>
      <c r="N75" s="27"/>
      <c r="O75" s="119">
        <f>D75</f>
        <v>0</v>
      </c>
      <c r="P75" s="119"/>
      <c r="Q75" s="26"/>
      <c r="R75" s="26"/>
    </row>
    <row r="76" spans="2:18" ht="15.75">
      <c r="C76" s="28" t="s">
        <v>119</v>
      </c>
      <c r="D76" s="118">
        <f>J17</f>
        <v>0</v>
      </c>
      <c r="E76" s="118"/>
      <c r="F76" s="119"/>
      <c r="G76" s="119"/>
      <c r="H76" s="119"/>
      <c r="I76" s="119"/>
      <c r="J76" s="119"/>
      <c r="K76" s="119"/>
      <c r="L76" s="120">
        <f>P56</f>
        <v>0</v>
      </c>
      <c r="M76" s="120"/>
      <c r="N76" s="27"/>
      <c r="O76" s="119">
        <f>D76</f>
        <v>0</v>
      </c>
      <c r="P76" s="119"/>
      <c r="Q76" s="26"/>
      <c r="R76" s="26"/>
    </row>
    <row r="77" spans="2:18" ht="15.75">
      <c r="C77" s="28" t="s">
        <v>120</v>
      </c>
      <c r="D77" s="118">
        <f>M17</f>
        <v>0</v>
      </c>
      <c r="E77" s="118"/>
      <c r="F77" s="119"/>
      <c r="G77" s="119"/>
      <c r="H77" s="119"/>
      <c r="I77" s="119"/>
      <c r="J77" s="119"/>
      <c r="K77" s="119"/>
      <c r="L77" s="120">
        <f>P57</f>
        <v>0</v>
      </c>
      <c r="M77" s="120"/>
      <c r="N77" s="27"/>
      <c r="O77" s="119">
        <f>D77</f>
        <v>0</v>
      </c>
      <c r="P77" s="119"/>
      <c r="Q77" s="26"/>
      <c r="R77" s="26"/>
    </row>
    <row r="78" spans="2:18" ht="16.5" thickBot="1">
      <c r="C78" s="29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32"/>
      <c r="O78" s="31"/>
      <c r="P78" s="31"/>
    </row>
    <row r="79" spans="2:18" ht="16.5" thickBot="1">
      <c r="C79" s="33" t="s">
        <v>121</v>
      </c>
      <c r="D79" s="34"/>
      <c r="E79" s="34"/>
      <c r="F79" s="35"/>
      <c r="G79" s="35"/>
      <c r="H79" s="35"/>
      <c r="I79" s="35"/>
      <c r="J79" s="35"/>
      <c r="K79" s="35"/>
      <c r="L79" s="35"/>
      <c r="M79" s="35"/>
      <c r="N79" s="36"/>
      <c r="O79" s="35"/>
      <c r="P79" s="35"/>
      <c r="Q79" s="37"/>
      <c r="R79" s="38"/>
    </row>
    <row r="80" spans="2:18" ht="15.75">
      <c r="C80" s="29"/>
      <c r="D80" s="30"/>
      <c r="E80" s="30"/>
      <c r="F80" s="31"/>
      <c r="G80" s="31"/>
      <c r="H80" s="31"/>
      <c r="I80" s="31"/>
      <c r="J80" s="31"/>
      <c r="K80" s="31"/>
      <c r="L80" s="31"/>
      <c r="M80" s="31"/>
      <c r="N80" s="32"/>
      <c r="O80" s="31"/>
      <c r="P80" s="31"/>
    </row>
    <row r="81" spans="2:18" ht="15">
      <c r="C81" s="39" t="s">
        <v>10</v>
      </c>
      <c r="D81" s="116">
        <v>0</v>
      </c>
      <c r="E81" s="116"/>
      <c r="F81" s="117"/>
      <c r="G81" s="117"/>
      <c r="H81" s="117"/>
      <c r="I81" s="117"/>
      <c r="J81" s="117"/>
      <c r="K81" s="117"/>
      <c r="L81" s="117"/>
      <c r="M81" s="117"/>
      <c r="N81" s="40"/>
      <c r="O81" s="117"/>
      <c r="P81" s="117"/>
      <c r="Q81" s="41"/>
      <c r="R81" s="41"/>
    </row>
    <row r="82" spans="2:18" ht="15">
      <c r="C82" s="42" t="s">
        <v>11</v>
      </c>
      <c r="D82" s="116">
        <v>0</v>
      </c>
      <c r="E82" s="116"/>
      <c r="F82" s="117"/>
      <c r="G82" s="117"/>
      <c r="H82" s="117"/>
      <c r="I82" s="117"/>
      <c r="J82" s="117"/>
      <c r="K82" s="117"/>
      <c r="L82" s="117"/>
      <c r="M82" s="117"/>
      <c r="N82" s="40"/>
      <c r="O82" s="117"/>
      <c r="P82" s="117"/>
      <c r="Q82" s="41"/>
      <c r="R82" s="41"/>
    </row>
    <row r="83" spans="2:18" ht="15">
      <c r="C83" s="42" t="s">
        <v>12</v>
      </c>
      <c r="D83" s="116">
        <v>0</v>
      </c>
      <c r="E83" s="116"/>
      <c r="F83" s="117"/>
      <c r="G83" s="117"/>
      <c r="H83" s="117"/>
      <c r="I83" s="117"/>
      <c r="J83" s="117"/>
      <c r="K83" s="117"/>
      <c r="L83" s="117"/>
      <c r="M83" s="117"/>
      <c r="N83" s="40"/>
      <c r="O83" s="117"/>
      <c r="P83" s="117"/>
      <c r="Q83" s="41"/>
      <c r="R83" s="41"/>
    </row>
    <row r="84" spans="2:18" ht="15">
      <c r="C84" s="42" t="s">
        <v>13</v>
      </c>
      <c r="D84" s="116">
        <f>(P40+P54)-D74</f>
        <v>0</v>
      </c>
      <c r="E84" s="116"/>
      <c r="F84" s="117"/>
      <c r="G84" s="117"/>
      <c r="H84" s="117"/>
      <c r="I84" s="117"/>
      <c r="J84" s="117"/>
      <c r="K84" s="117"/>
      <c r="L84" s="117"/>
      <c r="M84" s="117"/>
      <c r="N84" s="40"/>
      <c r="O84" s="117"/>
      <c r="P84" s="117"/>
      <c r="Q84" s="41"/>
      <c r="R84" s="41"/>
    </row>
    <row r="85" spans="2:18" ht="15.75">
      <c r="C85" s="29"/>
      <c r="D85" s="30"/>
      <c r="E85" s="30"/>
      <c r="F85" s="31"/>
      <c r="G85" s="31"/>
      <c r="H85" s="31"/>
      <c r="I85" s="31"/>
      <c r="J85" s="31"/>
      <c r="K85" s="31"/>
      <c r="L85" s="31"/>
      <c r="M85" s="31"/>
      <c r="N85" s="32"/>
      <c r="O85" s="31"/>
      <c r="P85" s="31"/>
    </row>
    <row r="86" spans="2:18" s="9" customFormat="1" ht="15">
      <c r="B86" s="9">
        <v>6.2</v>
      </c>
      <c r="C86" s="9" t="s">
        <v>68</v>
      </c>
    </row>
    <row r="88" spans="2:18" ht="15">
      <c r="C88" s="13" t="s">
        <v>33</v>
      </c>
      <c r="D88" s="112" t="s">
        <v>10</v>
      </c>
      <c r="E88" s="113"/>
      <c r="F88" s="113"/>
      <c r="G88" s="113"/>
      <c r="H88" s="114"/>
      <c r="I88" s="112" t="s">
        <v>11</v>
      </c>
      <c r="J88" s="113"/>
      <c r="K88" s="113"/>
      <c r="L88" s="113"/>
      <c r="M88" s="114"/>
      <c r="N88" s="112" t="s">
        <v>87</v>
      </c>
      <c r="O88" s="113"/>
      <c r="P88" s="113"/>
      <c r="Q88" s="113"/>
      <c r="R88" s="114"/>
    </row>
    <row r="89" spans="2:18" ht="15">
      <c r="C89" s="14">
        <v>1</v>
      </c>
      <c r="D89" s="115">
        <v>2</v>
      </c>
      <c r="E89" s="115"/>
      <c r="F89" s="115"/>
      <c r="G89" s="115"/>
      <c r="H89" s="115"/>
      <c r="I89" s="115">
        <v>3</v>
      </c>
      <c r="J89" s="115"/>
      <c r="K89" s="115"/>
      <c r="L89" s="115"/>
      <c r="M89" s="115"/>
      <c r="N89" s="115">
        <v>4</v>
      </c>
      <c r="O89" s="115"/>
      <c r="P89" s="115"/>
      <c r="Q89" s="115"/>
      <c r="R89" s="115"/>
    </row>
    <row r="90" spans="2:18">
      <c r="C90" s="16" t="s">
        <v>69</v>
      </c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</row>
    <row r="91" spans="2:18">
      <c r="C91" s="16" t="s">
        <v>70</v>
      </c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</row>
    <row r="93" spans="2:18">
      <c r="C93" s="8" t="s">
        <v>122</v>
      </c>
    </row>
    <row r="95" spans="2:18">
      <c r="C95" s="8" t="s">
        <v>123</v>
      </c>
    </row>
    <row r="96" spans="2:18">
      <c r="C96" s="8" t="s">
        <v>124</v>
      </c>
    </row>
    <row r="98" spans="3:3">
      <c r="C98" s="8" t="s">
        <v>74</v>
      </c>
    </row>
    <row r="99" spans="3:3">
      <c r="C99" s="8" t="s">
        <v>125</v>
      </c>
    </row>
    <row r="100" spans="3:3">
      <c r="C100" s="8" t="s">
        <v>126</v>
      </c>
    </row>
    <row r="102" spans="3:3">
      <c r="C102" s="8" t="s">
        <v>127</v>
      </c>
    </row>
    <row r="104" spans="3:3">
      <c r="C104" s="8" t="s">
        <v>77</v>
      </c>
    </row>
  </sheetData>
  <mergeCells count="267">
    <mergeCell ref="D8:R8"/>
    <mergeCell ref="D12:F12"/>
    <mergeCell ref="G12:I12"/>
    <mergeCell ref="J12:L12"/>
    <mergeCell ref="M12:O12"/>
    <mergeCell ref="P12:R12"/>
    <mergeCell ref="B1:R1"/>
    <mergeCell ref="B2:R2"/>
    <mergeCell ref="O4:P4"/>
    <mergeCell ref="Q4:R4"/>
    <mergeCell ref="O5:P5"/>
    <mergeCell ref="Q5:R5"/>
    <mergeCell ref="D13:F13"/>
    <mergeCell ref="G13:I13"/>
    <mergeCell ref="J13:L13"/>
    <mergeCell ref="M13:O13"/>
    <mergeCell ref="P13:R13"/>
    <mergeCell ref="D14:F14"/>
    <mergeCell ref="G14:I14"/>
    <mergeCell ref="J14:L14"/>
    <mergeCell ref="M14:O14"/>
    <mergeCell ref="P14:R14"/>
    <mergeCell ref="D15:F15"/>
    <mergeCell ref="G15:I15"/>
    <mergeCell ref="J15:L15"/>
    <mergeCell ref="M15:O15"/>
    <mergeCell ref="P15:R15"/>
    <mergeCell ref="D16:F16"/>
    <mergeCell ref="G16:I16"/>
    <mergeCell ref="J16:L16"/>
    <mergeCell ref="M16:O16"/>
    <mergeCell ref="P16:R16"/>
    <mergeCell ref="D17:F17"/>
    <mergeCell ref="G17:I17"/>
    <mergeCell ref="J17:L17"/>
    <mergeCell ref="M17:O17"/>
    <mergeCell ref="P17:R17"/>
    <mergeCell ref="D18:F18"/>
    <mergeCell ref="G18:I18"/>
    <mergeCell ref="J18:L18"/>
    <mergeCell ref="M18:O18"/>
    <mergeCell ref="P18:R18"/>
    <mergeCell ref="D25:H25"/>
    <mergeCell ref="I25:M25"/>
    <mergeCell ref="N25:R25"/>
    <mergeCell ref="D26:H26"/>
    <mergeCell ref="I26:M26"/>
    <mergeCell ref="N26:R26"/>
    <mergeCell ref="D19:F19"/>
    <mergeCell ref="G19:I19"/>
    <mergeCell ref="J19:L19"/>
    <mergeCell ref="M19:O19"/>
    <mergeCell ref="P19:R19"/>
    <mergeCell ref="D24:H24"/>
    <mergeCell ref="I24:M24"/>
    <mergeCell ref="N24:R24"/>
    <mergeCell ref="D29:H29"/>
    <mergeCell ref="I29:M29"/>
    <mergeCell ref="N29:R29"/>
    <mergeCell ref="D30:H30"/>
    <mergeCell ref="I30:M30"/>
    <mergeCell ref="N30:R30"/>
    <mergeCell ref="D27:H27"/>
    <mergeCell ref="I27:M27"/>
    <mergeCell ref="N27:R27"/>
    <mergeCell ref="D28:H28"/>
    <mergeCell ref="I28:M28"/>
    <mergeCell ref="N28:R28"/>
    <mergeCell ref="D33:H33"/>
    <mergeCell ref="I33:M33"/>
    <mergeCell ref="N33:R33"/>
    <mergeCell ref="D34:H34"/>
    <mergeCell ref="I34:M34"/>
    <mergeCell ref="N34:R34"/>
    <mergeCell ref="D31:H31"/>
    <mergeCell ref="I31:M31"/>
    <mergeCell ref="N31:R31"/>
    <mergeCell ref="D32:H32"/>
    <mergeCell ref="I32:M32"/>
    <mergeCell ref="N32:R32"/>
    <mergeCell ref="D37:H37"/>
    <mergeCell ref="I37:M37"/>
    <mergeCell ref="N37:R37"/>
    <mergeCell ref="D38:H38"/>
    <mergeCell ref="I38:M38"/>
    <mergeCell ref="N38:R38"/>
    <mergeCell ref="D35:H35"/>
    <mergeCell ref="I35:M35"/>
    <mergeCell ref="N35:R35"/>
    <mergeCell ref="D36:H36"/>
    <mergeCell ref="I36:M36"/>
    <mergeCell ref="N36:R36"/>
    <mergeCell ref="D43:G43"/>
    <mergeCell ref="H43:K43"/>
    <mergeCell ref="L43:O43"/>
    <mergeCell ref="P43:R43"/>
    <mergeCell ref="D44:G44"/>
    <mergeCell ref="H44:K44"/>
    <mergeCell ref="L44:O44"/>
    <mergeCell ref="P44:R44"/>
    <mergeCell ref="D40:G40"/>
    <mergeCell ref="H40:K40"/>
    <mergeCell ref="L40:O40"/>
    <mergeCell ref="P40:R40"/>
    <mergeCell ref="D42:G42"/>
    <mergeCell ref="H42:K42"/>
    <mergeCell ref="L42:O42"/>
    <mergeCell ref="P42:R42"/>
    <mergeCell ref="D47:G47"/>
    <mergeCell ref="H47:K47"/>
    <mergeCell ref="L47:O47"/>
    <mergeCell ref="P47:R47"/>
    <mergeCell ref="D48:G48"/>
    <mergeCell ref="H48:K48"/>
    <mergeCell ref="L48:O48"/>
    <mergeCell ref="P48:R48"/>
    <mergeCell ref="D45:G45"/>
    <mergeCell ref="H45:K45"/>
    <mergeCell ref="L45:O45"/>
    <mergeCell ref="P45:R45"/>
    <mergeCell ref="D46:G46"/>
    <mergeCell ref="H46:K46"/>
    <mergeCell ref="L46:O46"/>
    <mergeCell ref="P46:R46"/>
    <mergeCell ref="D51:G51"/>
    <mergeCell ref="H51:K51"/>
    <mergeCell ref="L51:O51"/>
    <mergeCell ref="P51:R51"/>
    <mergeCell ref="D52:G52"/>
    <mergeCell ref="H52:K52"/>
    <mergeCell ref="L52:O52"/>
    <mergeCell ref="P52:R52"/>
    <mergeCell ref="D49:G49"/>
    <mergeCell ref="H49:K49"/>
    <mergeCell ref="L49:O49"/>
    <mergeCell ref="P49:R49"/>
    <mergeCell ref="D50:G50"/>
    <mergeCell ref="H50:K50"/>
    <mergeCell ref="L50:O50"/>
    <mergeCell ref="P50:R50"/>
    <mergeCell ref="D55:G55"/>
    <mergeCell ref="H55:K55"/>
    <mergeCell ref="L55:O55"/>
    <mergeCell ref="P55:R55"/>
    <mergeCell ref="D56:G56"/>
    <mergeCell ref="H56:K56"/>
    <mergeCell ref="L56:O56"/>
    <mergeCell ref="P56:R56"/>
    <mergeCell ref="D53:G53"/>
    <mergeCell ref="H53:K53"/>
    <mergeCell ref="L53:O53"/>
    <mergeCell ref="P53:R53"/>
    <mergeCell ref="D54:G54"/>
    <mergeCell ref="H54:K54"/>
    <mergeCell ref="L54:O54"/>
    <mergeCell ref="P54:R54"/>
    <mergeCell ref="C62:D62"/>
    <mergeCell ref="E62:K62"/>
    <mergeCell ref="L62:R62"/>
    <mergeCell ref="C63:D63"/>
    <mergeCell ref="E63:K63"/>
    <mergeCell ref="L63:R63"/>
    <mergeCell ref="D57:G57"/>
    <mergeCell ref="H57:K57"/>
    <mergeCell ref="L57:O57"/>
    <mergeCell ref="P57:R57"/>
    <mergeCell ref="C61:D61"/>
    <mergeCell ref="E61:K61"/>
    <mergeCell ref="L61:R61"/>
    <mergeCell ref="C64:D64"/>
    <mergeCell ref="E64:K64"/>
    <mergeCell ref="L64:R64"/>
    <mergeCell ref="C68:C69"/>
    <mergeCell ref="D68:E69"/>
    <mergeCell ref="F68:M68"/>
    <mergeCell ref="N68:N69"/>
    <mergeCell ref="O68:P69"/>
    <mergeCell ref="Q68:Q69"/>
    <mergeCell ref="R68:R69"/>
    <mergeCell ref="O70:P70"/>
    <mergeCell ref="D71:E71"/>
    <mergeCell ref="F71:G71"/>
    <mergeCell ref="H71:I71"/>
    <mergeCell ref="J71:K71"/>
    <mergeCell ref="L71:M71"/>
    <mergeCell ref="O71:P71"/>
    <mergeCell ref="F69:G69"/>
    <mergeCell ref="H69:I69"/>
    <mergeCell ref="J69:K69"/>
    <mergeCell ref="L69:M69"/>
    <mergeCell ref="D70:E70"/>
    <mergeCell ref="F70:G70"/>
    <mergeCell ref="H70:I70"/>
    <mergeCell ref="J70:K70"/>
    <mergeCell ref="L70:M70"/>
    <mergeCell ref="D73:E73"/>
    <mergeCell ref="F73:G73"/>
    <mergeCell ref="H73:I73"/>
    <mergeCell ref="J73:K73"/>
    <mergeCell ref="L73:M73"/>
    <mergeCell ref="O73:P73"/>
    <mergeCell ref="D72:E72"/>
    <mergeCell ref="F72:G72"/>
    <mergeCell ref="H72:I72"/>
    <mergeCell ref="J72:K72"/>
    <mergeCell ref="L72:M72"/>
    <mergeCell ref="O72:P72"/>
    <mergeCell ref="D75:E75"/>
    <mergeCell ref="F75:G75"/>
    <mergeCell ref="H75:I75"/>
    <mergeCell ref="J75:K75"/>
    <mergeCell ref="L75:M75"/>
    <mergeCell ref="O75:P75"/>
    <mergeCell ref="D74:E74"/>
    <mergeCell ref="F74:G74"/>
    <mergeCell ref="H74:I74"/>
    <mergeCell ref="J74:K74"/>
    <mergeCell ref="L74:M74"/>
    <mergeCell ref="O74:P74"/>
    <mergeCell ref="D77:E77"/>
    <mergeCell ref="F77:G77"/>
    <mergeCell ref="H77:I77"/>
    <mergeCell ref="J77:K77"/>
    <mergeCell ref="L77:M77"/>
    <mergeCell ref="O77:P77"/>
    <mergeCell ref="D76:E76"/>
    <mergeCell ref="F76:G76"/>
    <mergeCell ref="H76:I76"/>
    <mergeCell ref="J76:K76"/>
    <mergeCell ref="L76:M76"/>
    <mergeCell ref="O76:P76"/>
    <mergeCell ref="D82:E82"/>
    <mergeCell ref="F82:G82"/>
    <mergeCell ref="H82:I82"/>
    <mergeCell ref="J82:K82"/>
    <mergeCell ref="L82:M82"/>
    <mergeCell ref="O82:P82"/>
    <mergeCell ref="D81:E81"/>
    <mergeCell ref="F81:G81"/>
    <mergeCell ref="H81:I81"/>
    <mergeCell ref="J81:K81"/>
    <mergeCell ref="L81:M81"/>
    <mergeCell ref="O81:P81"/>
    <mergeCell ref="D84:E84"/>
    <mergeCell ref="F84:G84"/>
    <mergeCell ref="H84:I84"/>
    <mergeCell ref="J84:K84"/>
    <mergeCell ref="L84:M84"/>
    <mergeCell ref="O84:P84"/>
    <mergeCell ref="D83:E83"/>
    <mergeCell ref="F83:G83"/>
    <mergeCell ref="H83:I83"/>
    <mergeCell ref="J83:K83"/>
    <mergeCell ref="L83:M83"/>
    <mergeCell ref="O83:P83"/>
    <mergeCell ref="D90:H90"/>
    <mergeCell ref="I90:M90"/>
    <mergeCell ref="N90:R90"/>
    <mergeCell ref="D91:H91"/>
    <mergeCell ref="I91:M91"/>
    <mergeCell ref="N91:R91"/>
    <mergeCell ref="D88:H88"/>
    <mergeCell ref="I88:M88"/>
    <mergeCell ref="N88:R88"/>
    <mergeCell ref="D89:H89"/>
    <mergeCell ref="I89:M89"/>
    <mergeCell ref="N89:R89"/>
  </mergeCells>
  <pageMargins left="0.39370078740157499" right="0" top="0.74803149606299202" bottom="0.74803149606299202" header="0.31496062992126" footer="0.31496062992126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A3" sqref="A3"/>
    </sheetView>
  </sheetViews>
  <sheetFormatPr defaultRowHeight="18.75" customHeight="1"/>
  <cols>
    <col min="1" max="1" width="42.140625" style="49" customWidth="1"/>
    <col min="2" max="2" width="20.5703125" style="49" customWidth="1"/>
    <col min="3" max="3" width="14.28515625" style="57" customWidth="1"/>
    <col min="4" max="4" width="13.140625" style="59" customWidth="1"/>
    <col min="5" max="5" width="17" style="51" customWidth="1"/>
    <col min="6" max="6" width="8.5703125" style="52" customWidth="1"/>
    <col min="7" max="7" width="12.85546875" style="52" customWidth="1"/>
    <col min="8" max="8" width="12.5703125" style="52" customWidth="1"/>
    <col min="9" max="9" width="12.7109375" style="52" customWidth="1"/>
    <col min="10" max="10" width="12.5703125" style="52" customWidth="1"/>
    <col min="11" max="11" width="16.7109375" style="49" customWidth="1"/>
  </cols>
  <sheetData>
    <row r="1" spans="1:11" ht="18.75" customHeight="1">
      <c r="E1" s="54">
        <f>SUBTOTAL(9,E3:E5000)</f>
        <v>0</v>
      </c>
      <c r="F1" s="56"/>
      <c r="G1" s="54">
        <f>SUBTOTAL(9,G3:G5000)</f>
        <v>0</v>
      </c>
      <c r="H1" s="54">
        <f>SUBTOTAL(9,H3:H5000)</f>
        <v>0</v>
      </c>
      <c r="I1" s="54">
        <f>SUBTOTAL(9,I3:I5000)</f>
        <v>0</v>
      </c>
      <c r="J1" s="54">
        <f>SUBTOTAL(9,J3:J5000)</f>
        <v>0</v>
      </c>
    </row>
    <row r="2" spans="1:11" s="44" customFormat="1" ht="18.75" customHeight="1">
      <c r="A2" s="45" t="s">
        <v>130</v>
      </c>
      <c r="B2" s="45" t="s">
        <v>131</v>
      </c>
      <c r="C2" s="58" t="s">
        <v>132</v>
      </c>
      <c r="D2" s="60" t="s">
        <v>133</v>
      </c>
      <c r="E2" s="47" t="s">
        <v>9</v>
      </c>
      <c r="F2" s="48" t="s">
        <v>137</v>
      </c>
      <c r="G2" s="53" t="s">
        <v>134</v>
      </c>
      <c r="H2" s="53" t="s">
        <v>136</v>
      </c>
      <c r="I2" s="53" t="s">
        <v>135</v>
      </c>
      <c r="J2" s="53" t="s">
        <v>13</v>
      </c>
      <c r="K2" s="45" t="s">
        <v>139</v>
      </c>
    </row>
  </sheetData>
  <autoFilter ref="A2:K2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topLeftCell="B1" workbookViewId="0">
      <selection activeCell="L3" sqref="L3"/>
    </sheetView>
  </sheetViews>
  <sheetFormatPr defaultRowHeight="18.75" customHeight="1"/>
  <cols>
    <col min="1" max="1" width="42.140625" style="49" customWidth="1"/>
    <col min="2" max="2" width="20.5703125" style="49" customWidth="1"/>
    <col min="3" max="3" width="14.28515625" style="57" customWidth="1"/>
    <col min="4" max="4" width="13.140625" style="59" customWidth="1"/>
    <col min="5" max="5" width="17" style="51" customWidth="1"/>
    <col min="6" max="6" width="8.5703125" style="52" customWidth="1"/>
    <col min="7" max="7" width="12.85546875" style="52" customWidth="1"/>
    <col min="8" max="8" width="12.5703125" style="52" customWidth="1"/>
    <col min="9" max="9" width="12.7109375" style="52" customWidth="1"/>
    <col min="10" max="10" width="12.5703125" style="52" customWidth="1"/>
    <col min="11" max="11" width="16.7109375" style="49" customWidth="1"/>
    <col min="12" max="12" width="12.7109375" customWidth="1"/>
  </cols>
  <sheetData>
    <row r="1" spans="1:12" ht="18.75" customHeight="1">
      <c r="E1" s="54">
        <f>SUBTOTAL(9,E3:E5000)</f>
        <v>0</v>
      </c>
      <c r="F1" s="55"/>
      <c r="G1" s="54">
        <f>SUBTOTAL(9,G3:G5000)</f>
        <v>0</v>
      </c>
      <c r="H1" s="54">
        <f>SUBTOTAL(9,H3:H5000)</f>
        <v>0</v>
      </c>
      <c r="I1" s="54">
        <f>SUBTOTAL(9,I3:I5000)</f>
        <v>0</v>
      </c>
      <c r="J1" s="54">
        <f>SUBTOTAL(9,J3:J5000)</f>
        <v>0</v>
      </c>
    </row>
    <row r="2" spans="1:12" s="44" customFormat="1" ht="18.75" customHeight="1">
      <c r="A2" s="45" t="s">
        <v>130</v>
      </c>
      <c r="B2" s="45" t="s">
        <v>131</v>
      </c>
      <c r="C2" s="58" t="s">
        <v>132</v>
      </c>
      <c r="D2" s="60" t="s">
        <v>141</v>
      </c>
      <c r="E2" s="47" t="s">
        <v>9</v>
      </c>
      <c r="F2" s="48" t="s">
        <v>137</v>
      </c>
      <c r="G2" s="53" t="s">
        <v>134</v>
      </c>
      <c r="H2" s="53" t="s">
        <v>136</v>
      </c>
      <c r="I2" s="53" t="s">
        <v>135</v>
      </c>
      <c r="J2" s="53" t="s">
        <v>13</v>
      </c>
      <c r="K2" s="45" t="s">
        <v>139</v>
      </c>
      <c r="L2" s="60" t="s">
        <v>142</v>
      </c>
    </row>
  </sheetData>
  <autoFilter ref="A2:K2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A4" sqref="A4"/>
    </sheetView>
  </sheetViews>
  <sheetFormatPr defaultRowHeight="18.75" customHeight="1"/>
  <cols>
    <col min="1" max="1" width="42.140625" style="49" customWidth="1"/>
    <col min="2" max="2" width="20.5703125" style="49" customWidth="1"/>
    <col min="3" max="3" width="14.28515625" style="49" customWidth="1"/>
    <col min="4" max="4" width="13.140625" style="50" customWidth="1"/>
    <col min="5" max="5" width="17" style="51" customWidth="1"/>
    <col min="6" max="6" width="8.5703125" style="52" customWidth="1"/>
    <col min="7" max="7" width="12.85546875" style="52" customWidth="1"/>
    <col min="8" max="8" width="12.5703125" style="52" customWidth="1"/>
    <col min="9" max="9" width="12.7109375" style="52" customWidth="1"/>
    <col min="10" max="10" width="12.5703125" style="52" customWidth="1"/>
    <col min="11" max="11" width="16.7109375" style="49" customWidth="1"/>
  </cols>
  <sheetData>
    <row r="1" spans="1:11" ht="18.75" customHeight="1">
      <c r="E1" s="54">
        <f>SUBTOTAL(9,E3:E5000)</f>
        <v>0</v>
      </c>
      <c r="F1" s="55"/>
      <c r="G1" s="54">
        <f>SUBTOTAL(9,G3:G5000)</f>
        <v>0</v>
      </c>
      <c r="H1" s="54">
        <f>SUBTOTAL(9,H3:H5000)</f>
        <v>0</v>
      </c>
      <c r="I1" s="54">
        <f>SUBTOTAL(9,I3:I5000)</f>
        <v>0</v>
      </c>
      <c r="J1" s="54">
        <f>SUBTOTAL(9,J3:J5000)</f>
        <v>0</v>
      </c>
    </row>
    <row r="2" spans="1:11" s="44" customFormat="1" ht="18.75" customHeight="1">
      <c r="A2" s="45" t="s">
        <v>130</v>
      </c>
      <c r="B2" s="45" t="s">
        <v>140</v>
      </c>
      <c r="C2" s="45" t="s">
        <v>132</v>
      </c>
      <c r="D2" s="46" t="s">
        <v>133</v>
      </c>
      <c r="E2" s="47" t="s">
        <v>9</v>
      </c>
      <c r="F2" s="48" t="s">
        <v>137</v>
      </c>
      <c r="G2" s="53" t="s">
        <v>134</v>
      </c>
      <c r="H2" s="53" t="s">
        <v>136</v>
      </c>
      <c r="I2" s="53" t="s">
        <v>135</v>
      </c>
      <c r="J2" s="53" t="s">
        <v>13</v>
      </c>
      <c r="K2" s="45" t="s">
        <v>138</v>
      </c>
    </row>
  </sheetData>
  <autoFilter ref="A2:K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Sale</vt:lpstr>
      <vt:lpstr>Purchase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Arora</dc:creator>
  <cp:lastModifiedBy>Hitesh Arora</cp:lastModifiedBy>
  <cp:lastPrinted>2023-06-15T05:50:56Z</cp:lastPrinted>
  <dcterms:created xsi:type="dcterms:W3CDTF">2022-11-19T07:32:36Z</dcterms:created>
  <dcterms:modified xsi:type="dcterms:W3CDTF">2023-10-17T06:30:11Z</dcterms:modified>
</cp:coreProperties>
</file>